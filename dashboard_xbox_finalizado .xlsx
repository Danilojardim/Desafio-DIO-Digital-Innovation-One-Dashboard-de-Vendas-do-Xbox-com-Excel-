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1573" documentId="13_ncr:1_{3C2F8ED6-40B2-4E08-832A-7140AC03FA60}" xr6:coauthVersionLast="47" xr6:coauthVersionMax="47" xr10:uidLastSave="{FFB63BAA-D721-4DF5-A264-9618044D7087}"/>
  <bookViews>
    <workbookView xWindow="-120" yWindow="-120" windowWidth="20730" windowHeight="11040" firstSheet="2" activeTab="2" xr2:uid="{28DD5B76-0634-4F87-BE60-8BFA7EF2E23B}"/>
  </bookViews>
  <sheets>
    <sheet name="A̳ssets" sheetId="1" state="hidden" r:id="rId1"/>
    <sheet name="B̳ases" sheetId="2" state="hidden" r:id="rId2"/>
    <sheet name="D̳ashboard" sheetId="3" r:id="rId3"/>
  </sheets>
  <definedNames>
    <definedName name="Slicer_Plans">#N/A</definedName>
    <definedName name="Slicer_Subscription_Type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7" i="3" l="1"/>
  <c r="Y97" i="3"/>
  <c r="Z97" i="3"/>
  <c r="AA97" i="3"/>
  <c r="X98" i="3"/>
  <c r="Y98" i="3"/>
  <c r="Z98" i="3"/>
  <c r="AA98" i="3"/>
  <c r="X99" i="3"/>
  <c r="Y99" i="3"/>
  <c r="Z99" i="3"/>
  <c r="AA99" i="3"/>
  <c r="X100" i="3"/>
  <c r="Y100" i="3"/>
  <c r="Z100" i="3"/>
  <c r="AA100" i="3"/>
  <c r="X91" i="3"/>
  <c r="X92" i="3"/>
  <c r="X90" i="3"/>
  <c r="X93" i="3" s="1"/>
  <c r="AD82" i="3"/>
  <c r="AD83" i="3"/>
  <c r="AD81" i="3"/>
  <c r="AD84" i="3" s="1"/>
  <c r="AC82" i="3"/>
  <c r="AC83" i="3"/>
  <c r="AC81" i="3"/>
  <c r="AC84" i="3" s="1"/>
  <c r="AA81" i="3"/>
  <c r="Y81" i="3"/>
  <c r="Z81" i="3"/>
  <c r="AB83" i="3"/>
  <c r="AA83" i="3"/>
  <c r="Z83" i="3"/>
  <c r="Y83" i="3"/>
  <c r="X83" i="3"/>
  <c r="AB82" i="3"/>
  <c r="AA82" i="3"/>
  <c r="Z82" i="3"/>
  <c r="Y82" i="3"/>
  <c r="X82" i="3"/>
  <c r="AB81" i="3"/>
  <c r="AB84" i="3" s="1"/>
  <c r="AA84" i="3"/>
  <c r="Z84" i="3"/>
  <c r="Y84" i="3"/>
  <c r="X81" i="3"/>
  <c r="X84" i="3" s="1"/>
</calcChain>
</file>

<file path=xl/sharedStrings.xml><?xml version="1.0" encoding="utf-8"?>
<sst xmlns="http://schemas.openxmlformats.org/spreadsheetml/2006/main" count="2021" uniqueCount="326">
  <si>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</si>
  <si>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</si>
  <si>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</si>
  <si>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</si>
  <si>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</si>
  <si>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</si>
  <si>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</si>
  <si>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</si>
  <si>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</si>
  <si>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</si>
  <si>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</si>
  <si>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</si>
  <si>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</si>
  <si>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</si>
  <si>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</si>
  <si>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</si>
  <si>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</si>
  <si>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</si>
  <si>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</si>
  <si>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</si>
  <si>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</si>
  <si>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</si>
  <si>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</si>
  <si>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</si>
  <si>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</si>
  <si>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</si>
  <si>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</si>
  <si>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</si>
  <si>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</si>
  <si>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</si>
  <si>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</si>
  <si>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</si>
  <si>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</si>
  <si>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</si>
  <si>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</si>
  <si>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</si>
  <si>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</si>
  <si>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</si>
  <si>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</si>
  <si>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</si>
  <si>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</si>
  <si>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</si>
  <si>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</si>
  <si>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</si>
  <si>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</si>
  <si>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</si>
  <si>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</si>
  <si>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</si>
  <si>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</si>
  <si>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</si>
  <si>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</si>
  <si>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</si>
  <si>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</si>
  <si>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</si>
  <si>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</si>
  <si>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</si>
  <si>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</si>
  <si>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</si>
  <si>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</si>
  <si>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</si>
  <si>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</si>
  <si>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</si>
  <si>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</si>
  <si>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</si>
  <si>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</si>
  <si>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</si>
  <si>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</si>
  <si>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</si>
  <si>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</si>
  <si>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</si>
  <si>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</si>
  <si>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</si>
  <si>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</si>
  <si>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</si>
  <si>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</si>
  <si>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</si>
  <si>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</si>
  <si>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</si>
  <si>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</si>
  <si>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</si>
  <si>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</si>
  <si>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</si>
  <si>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</si>
  <si>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</si>
  <si>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</si>
  <si>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</si>
  <si>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</si>
  <si>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</si>
  <si>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</si>
  <si>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</si>
  <si>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</si>
  <si>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</si>
  <si>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</si>
  <si>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</si>
  <si>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</si>
  <si>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</si>
  <si>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</si>
  <si>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</si>
  <si>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</si>
  <si>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</si>
  <si>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</si>
  <si>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</si>
  <si>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</si>
  <si>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</si>
  <si>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</si>
  <si>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</si>
  <si>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</si>
  <si>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</si>
  <si>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</si>
  <si>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</si>
  <si>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</si>
  <si>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</si>
  <si>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</si>
  <si>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</si>
  <si>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</si>
  <si>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</si>
  <si>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</si>
  <si>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</si>
  <si>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</si>
  <si>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</si>
  <si>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</si>
  <si>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</si>
  <si>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</si>
  <si>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</si>
  <si>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</si>
  <si>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</si>
  <si>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</si>
  <si>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</si>
  <si>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</si>
  <si>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</si>
  <si>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</si>
  <si>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</si>
  <si>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</si>
  <si>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</si>
  <si>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</si>
  <si>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</si>
  <si>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</si>
  <si>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</si>
  <si>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</si>
  <si>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</si>
  <si>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</si>
  <si>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</si>
  <si>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</si>
  <si>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</si>
  <si>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</si>
  <si>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</si>
  <si>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</si>
  <si>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</si>
  <si>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</si>
  <si>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</si>
  <si>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</si>
  <si>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</si>
  <si>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</si>
  <si>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</si>
  <si>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</si>
  <si>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</si>
  <si>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</si>
  <si>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</si>
  <si>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</si>
  <si>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</si>
  <si>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</si>
  <si>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</si>
  <si>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</si>
  <si>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</si>
  <si>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</si>
  <si>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</si>
  <si>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</si>
  <si>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</si>
  <si>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</si>
  <si>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</si>
  <si>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</si>
  <si>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</si>
  <si>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</si>
  <si>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</si>
  <si>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</si>
  <si>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</si>
  <si>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</si>
  <si>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</si>
  <si>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</si>
  <si>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</si>
  <si>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</si>
  <si>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</si>
  <si>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</si>
  <si>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</si>
  <si>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</si>
  <si>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</si>
  <si>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</si>
  <si>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</si>
  <si>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</si>
  <si>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</si>
  <si>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</si>
  <si>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</si>
  <si>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</si>
  <si>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</si>
  <si>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</si>
  <si>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</si>
  <si>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</si>
  <si>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</si>
  <si>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</si>
  <si>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</si>
  <si>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</si>
  <si>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</si>
  <si>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</si>
  <si>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</si>
  <si>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</si>
  <si>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</si>
  <si>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</si>
  <si>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</si>
  <si>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</si>
  <si>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</si>
  <si>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</si>
  <si>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</si>
  <si>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</si>
  <si>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</si>
  <si>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</si>
  <si>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</si>
  <si>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</si>
  <si>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</si>
  <si>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</si>
  <si>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</si>
  <si>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</si>
  <si>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</si>
  <si>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</si>
  <si>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</si>
  <si>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</si>
  <si>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</si>
  <si>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</si>
  <si>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</si>
  <si>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</si>
  <si>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</si>
  <si>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</si>
  <si>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</si>
  <si>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</si>
  <si>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</si>
  <si>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</si>
  <si>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</si>
  <si>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</si>
  <si>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</si>
  <si>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</si>
  <si>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</si>
  <si>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</si>
  <si>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</si>
  <si>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</si>
  <si>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</si>
  <si>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</si>
  <si>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</si>
  <si>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</si>
  <si>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</si>
  <si>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</si>
  <si>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</si>
  <si>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</si>
  <si>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</si>
  <si>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</si>
  <si>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</si>
  <si>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</si>
  <si>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</si>
  <si>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</si>
  <si>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</si>
  <si>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</si>
  <si>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</si>
  <si>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</si>
  <si>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</si>
  <si>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</si>
  <si>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</si>
  <si>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</si>
  <si>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</si>
  <si>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</si>
  <si>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</si>
  <si>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</si>
  <si>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</si>
  <si>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</si>
  <si>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</si>
  <si>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</si>
  <si>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</si>
  <si>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</si>
  <si>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</si>
  <si>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</si>
  <si>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</si>
  <si>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</si>
  <si>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</si>
  <si>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</si>
  <si>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</si>
  <si>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</si>
  <si>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</si>
  <si>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</si>
  <si>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</si>
  <si>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</si>
  <si>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</si>
  <si>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</si>
  <si>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</si>
  <si>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</si>
  <si>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</si>
  <si>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</si>
  <si>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</si>
  <si>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</si>
  <si>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</si>
  <si>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</si>
  <si>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</si>
  <si>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</si>
  <si>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</si>
  <si>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</si>
  <si>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</si>
  <si>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</si>
  <si>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</si>
  <si>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</si>
  <si>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</si>
  <si>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</si>
  <si>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</si>
  <si>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</si>
  <si>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</si>
  <si>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</si>
  <si>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</si>
  <si>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</si>
  <si>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XBOX GAME PASS SUBSCRIPTION SALES</t>
  </si>
  <si>
    <t>Calculation period: 01/01/2024 – 31/12/2024 | Update date: 09/12/2025 10:33:07</t>
  </si>
  <si>
    <t>Plans</t>
  </si>
  <si>
    <t>QTD</t>
  </si>
  <si>
    <t>Auto Renewal 
Yes</t>
  </si>
  <si>
    <t>Auto Renewal NO</t>
  </si>
  <si>
    <t>EA Play Season Pass 
YES</t>
  </si>
  <si>
    <t>EA Play Season Pass 
No</t>
  </si>
  <si>
    <t>Minecraft Season Pass 
YES</t>
  </si>
  <si>
    <t>Minecraft Season Pass 
No</t>
  </si>
  <si>
    <t>total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</si>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</sst>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 tint="0.14999847407452621"/>
      <name val="Corbel"/>
    </font>
    <font>
      <sz val="8"/>
      <color theme="2" tint="-0.499984740745262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0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4" borderId="0" xfId="0" applyFont="1" applyFill="1"/>
    <xf numFmtId="0" fontId="0" fillId="7" borderId="0" xfId="0" applyFill="1" applyBorder="1"/>
    <xf numFmtId="0" fontId="6" fillId="8" borderId="0" xfId="0" applyFont="1" applyFill="1" applyAlignment="1">
      <alignment horizontal="left" vertical="top" indent="3"/>
    </xf>
    <xf numFmtId="0" fontId="5" fillId="8" borderId="0" xfId="0" applyFont="1" applyFill="1" applyBorder="1" applyAlignment="1">
      <alignment indent="3"/>
    </xf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4" fillId="8" borderId="0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4" fillId="8" borderId="0" xfId="0" applyFont="1" applyFill="1" applyBorder="1"/>
    <xf numFmtId="164" fontId="4" fillId="8" borderId="0" xfId="0" applyNumberFormat="1" applyFont="1" applyFill="1" applyBorder="1"/>
    <xf numFmtId="165" fontId="4" fillId="8" borderId="0" xfId="0" applyNumberFormat="1" applyFont="1" applyFill="1" applyBorder="1"/>
    <xf numFmtId="0" fontId="0" fillId="8" borderId="0" xfId="0" applyFill="1" applyBorder="1"/>
    <xf numFmtId="0" fontId="5" fillId="8" borderId="0" xfId="0" applyFont="1" applyFill="1" applyBorder="1" applyAlignment="1">
      <alignment horizontal="left" indent="3"/>
    </xf>
    <xf numFmtId="0" fontId="5" fillId="8" borderId="2" xfId="0" applyFont="1" applyFill="1" applyBorder="1" applyAlignment="1">
      <alignment horizontal="left" indent="3"/>
    </xf>
  </cellXfs>
  <cellStyles count="3">
    <cellStyle name="Moeda" xfId="2" builtinId="4"/>
    <cellStyle name="Normal" xfId="0" builtinId="0"/>
    <cellStyle name="Título 1" xfId="1" builtinId="16"/>
  </cellStyles>
  <dxfs count="56">
    <dxf>
      <font>
        <color theme="0"/>
      </font>
      <numFmt numFmtId="165" formatCode="_-[$R$-416]\ * #,##0.00_-;\-[$R$-416]\ * #,##0.00_-;_-[$R$-416]\ 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-[$R$-416]\ * #,##0.00_-;\-[$R$-416]\ * #,##0.00_-;_-[$R$-416]\ * &quot;-&quot;??_-;_-@_-"/>
      <fill>
        <patternFill patternType="solid">
          <fgColor indexed="64"/>
          <bgColor theme="0"/>
        </patternFill>
      </fill>
    </dxf>
    <dxf>
      <font>
        <color theme="0"/>
      </font>
      <numFmt numFmtId="165" formatCode="_-[$R$-416]\ * #,##0.00_-;\-[$R$-416]\ * #,##0.00_-;_-[$R$-416]\ 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-[$R$-416]\ * #,##0.00_-;\-[$R$-416]\ * #,##0.00_-;_-[$R$-416]\ * &quot;-&quot;??_-;_-@_-"/>
      <fill>
        <patternFill patternType="solid">
          <fgColor indexed="64"/>
          <bgColor theme="0"/>
        </patternFill>
      </fill>
    </dxf>
    <dxf>
      <font>
        <color theme="0"/>
      </font>
      <numFmt numFmtId="165" formatCode="_-[$R$-416]\ * #,##0.00_-;\-[$R$-416]\ * #,##0.00_-;_-[$R$-416]\ 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-[$R$-416]\ * #,##0.00_-;\-[$R$-416]\ * #,##0.00_-;_-[$R$-416]\ * &quot;-&quot;??_-;_-@_-"/>
      <fill>
        <patternFill patternType="solid">
          <fgColor indexed="64"/>
          <bgColor theme="0"/>
        </patternFill>
      </fill>
    </dxf>
    <dxf>
      <font>
        <color theme="0"/>
      </font>
      <numFmt numFmtId="165" formatCode="_-[$R$-416]\ * #,##0.00_-;\-[$R$-416]\ * #,##0.00_-;_-[$R$-416]\ 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_-[$R$-416]\ * #,##0.00_-;\-[$R$-416]\ * #,##0.00_-;_-[$R$-416]\ * &quot;-&quot;??_-;_-@_-"/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border>
        <left/>
        <right/>
        <top/>
        <bottom/>
      </border>
    </dxf>
    <dxf>
      <font>
        <color theme="0"/>
        <family val="2"/>
      </font>
      <fill>
        <patternFill patternType="solid">
          <fgColor indexed="64"/>
          <bgColor theme="0"/>
        </patternFill>
      </fill>
    </dxf>
    <dxf>
      <font>
        <color theme="0"/>
        <family val="2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/>
      </font>
      <numFmt numFmtId="164" formatCode="&quot;R$&quot;\ #,##0.00"/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left/>
        <right/>
        <top/>
        <bottom/>
      </border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b val="0"/>
        <color theme="0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color theme="0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color theme="0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color theme="0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color theme="0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color theme="0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color theme="0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color theme="0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left/>
        <right/>
        <top/>
        <bottom/>
      </border>
    </dxf>
    <dxf>
      <font>
        <b val="0"/>
        <color theme="0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color theme="0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color theme="0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8E6E9"/>
      <color rgb="FFEDEDED"/>
      <color rgb="FF22C55E"/>
      <color rgb="FFF7F8FC"/>
      <color rgb="FF9BC848"/>
      <color rgb="FF5BF6A8"/>
      <color rgb="FF000000"/>
      <color rgb="FFE0E0E0"/>
      <color rgb="FF2AE6B1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Plans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D̳ashboard!$X$80</c:f>
              <c:strCache>
                <c:ptCount val="1"/>
                <c:pt idx="0">
                  <c:v>QTD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637CEF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23-4AF1-9F79-3C5CA93BB9C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67-4376-896C-6DCF9F69CAFB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67-4376-896C-6DCF9F69CA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D̳ashboard!W81,D̳ashboard!W82,D̳ashboard!W83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D̳ashboard!$X$81:$X$84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FA-4FF1-B78C-E02B6352C7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 Renewal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D̳ashboard!$Y$80</c:f>
              <c:strCache>
                <c:ptCount val="1"/>
                <c:pt idx="0">
                  <c:v>Auto Renewal 
Yes</c:v>
                </c:pt>
              </c:strCache>
            </c:strRef>
          </c:tx>
          <c:spPr>
            <a:solidFill>
              <a:srgbClr val="637CEF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D̳ashboard!$W$81:$W$83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D̳ashboard!$Y$81:$Y$83</c:f>
              <c:numCache>
                <c:formatCode>General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6-4A3B-BBCA-24E8089C047C}"/>
            </c:ext>
          </c:extLst>
        </c:ser>
        <c:ser>
          <c:idx val="1"/>
          <c:order val="1"/>
          <c:tx>
            <c:strRef>
              <c:f>D̳ashboard!$Z$80</c:f>
              <c:strCache>
                <c:ptCount val="1"/>
                <c:pt idx="0">
                  <c:v>Auto Renewal NO</c:v>
                </c:pt>
              </c:strCache>
            </c:strRef>
          </c:tx>
          <c:spPr>
            <a:solidFill>
              <a:srgbClr val="E3008C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D̳ashboard!$W$81:$W$83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D̳ashboard!$Z$81:$Z$83</c:f>
              <c:numCache>
                <c:formatCode>General</c:formatCode>
                <c:ptCount val="3"/>
                <c:pt idx="0">
                  <c:v>50</c:v>
                </c:pt>
                <c:pt idx="1">
                  <c:v>47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56-4A3B-BBCA-24E8089C04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6615304"/>
        <c:axId val="1986635272"/>
      </c:barChart>
      <c:catAx>
        <c:axId val="198661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35272"/>
        <c:crosses val="autoZero"/>
        <c:auto val="1"/>
        <c:lblAlgn val="ctr"/>
        <c:lblOffset val="100"/>
        <c:noMultiLvlLbl val="0"/>
      </c:catAx>
      <c:valAx>
        <c:axId val="1986635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6615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 Play Season Pass 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D̳ashboard!$AA$80</c:f>
              <c:strCache>
                <c:ptCount val="1"/>
                <c:pt idx="0">
                  <c:v>EA Play Season Pass 
YES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D̳ashboard!$W$81:$W$83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D̳ashboard!$AA$81:$AA$83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A-4E7C-BF5C-8204EC3228C0}"/>
            </c:ext>
          </c:extLst>
        </c:ser>
        <c:ser>
          <c:idx val="1"/>
          <c:order val="1"/>
          <c:tx>
            <c:strRef>
              <c:f>D̳ashboard!$AB$80</c:f>
              <c:strCache>
                <c:ptCount val="1"/>
                <c:pt idx="0">
                  <c:v>EA Play Season Pass 
No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D̳ashboard!$W$81:$W$83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D̳ashboard!$AB$81:$AB$83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EA-4E7C-BF5C-8204EC3228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64085511"/>
        <c:axId val="1464087559"/>
      </c:barChart>
      <c:catAx>
        <c:axId val="1464085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87559"/>
        <c:crosses val="autoZero"/>
        <c:auto val="1"/>
        <c:lblAlgn val="ctr"/>
        <c:lblOffset val="100"/>
        <c:noMultiLvlLbl val="0"/>
      </c:catAx>
      <c:valAx>
        <c:axId val="14640875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64085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Minecraft Season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D̳ashboard!$AC$80</c:f>
              <c:strCache>
                <c:ptCount val="1"/>
                <c:pt idx="0">
                  <c:v>Minecraft Season Pass 
YES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D̳ashboard!$W$81:$W$83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D̳ashboard!$AC$81:$AC$83</c:f>
              <c:numCache>
                <c:formatCode>General</c:formatCode>
                <c:ptCount val="3"/>
                <c:pt idx="0">
                  <c:v>0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4-4C34-ADFE-4E402F4D41AE}"/>
            </c:ext>
          </c:extLst>
        </c:ser>
        <c:ser>
          <c:idx val="1"/>
          <c:order val="1"/>
          <c:tx>
            <c:strRef>
              <c:f>D̳ashboard!$AD$80</c:f>
              <c:strCache>
                <c:ptCount val="1"/>
                <c:pt idx="0">
                  <c:v>Minecraft Season Pass 
No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D̳ashboard!$W$81:$W$83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D̳ashboard!$AD$81:$AD$83</c:f>
              <c:numCache>
                <c:formatCode>General</c:formatCode>
                <c:ptCount val="3"/>
                <c:pt idx="0">
                  <c:v>101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4-4C34-ADFE-4E402F4D41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2625543"/>
        <c:axId val="1882627591"/>
      </c:barChart>
      <c:catAx>
        <c:axId val="1882625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627591"/>
        <c:crosses val="autoZero"/>
        <c:auto val="1"/>
        <c:lblAlgn val="ctr"/>
        <c:lblOffset val="100"/>
        <c:noMultiLvlLbl val="0"/>
      </c:catAx>
      <c:valAx>
        <c:axId val="18826275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82625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by Subscription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D̳ashboard!$X$96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D̳ashboard!$W$97:$W$99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D̳ashboard!$X$97:$X$99</c:f>
              <c:numCache>
                <c:formatCode>_-[$R$-416]\ * #,##0.00_-;\-[$R$-416]\ * #,##0.00_-;_-[$R$-416]\ * "-"??_-;_-@_-</c:formatCode>
                <c:ptCount val="3"/>
                <c:pt idx="0">
                  <c:v>192</c:v>
                </c:pt>
                <c:pt idx="1">
                  <c:v>132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6-4BBE-9B95-FD3B777C2F14}"/>
            </c:ext>
          </c:extLst>
        </c:ser>
        <c:ser>
          <c:idx val="1"/>
          <c:order val="1"/>
          <c:tx>
            <c:strRef>
              <c:f>D̳ashboard!$Y$96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D̳ashboard!$W$97:$W$99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D̳ashboard!$Y$97:$Y$99</c:f>
              <c:numCache>
                <c:formatCode>_-[$R$-416]\ * #,##0.00_-;\-[$R$-416]\ * #,##0.00_-;_-[$R$-416]\ * "-"??_-;_-@_-</c:formatCode>
                <c:ptCount val="3"/>
                <c:pt idx="0">
                  <c:v>958</c:v>
                </c:pt>
                <c:pt idx="1">
                  <c:v>395</c:v>
                </c:pt>
                <c:pt idx="2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96-4BBE-9B95-FD3B777C2F14}"/>
            </c:ext>
          </c:extLst>
        </c:ser>
        <c:ser>
          <c:idx val="2"/>
          <c:order val="2"/>
          <c:tx>
            <c:strRef>
              <c:f>D̳ashboard!$Z$96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|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D̳ashboard!$W$97:$W$99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D̳ashboard!$Z$97:$Z$99</c:f>
              <c:numCache>
                <c:formatCode>_-[$R$-416]\ * #,##0.00_-;\-[$R$-416]\ * #,##0.00_-;_-[$R$-416]\ * "-"??_-;_-@_-</c:formatCode>
                <c:ptCount val="3"/>
                <c:pt idx="0">
                  <c:v>2421</c:v>
                </c:pt>
                <c:pt idx="1">
                  <c:v>1781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96-4BBE-9B95-FD3B777C2F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00512776"/>
        <c:axId val="1300516360"/>
      </c:barChart>
      <c:catAx>
        <c:axId val="1300512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16360"/>
        <c:crosses val="autoZero"/>
        <c:auto val="1"/>
        <c:lblAlgn val="ctr"/>
        <c:lblOffset val="100"/>
        <c:noMultiLvlLbl val="0"/>
      </c:catAx>
      <c:valAx>
        <c:axId val="1300516360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30051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D̳ashboard!$X$96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D̳ashboard!$X$100</c:f>
              <c:numCache>
                <c:formatCode>_-[$R$-416]\ * #,##0.00_-;\-[$R$-416]\ * #,##0.00_-;_-[$R$-416]\ * "-"??_-;_-@_-</c:formatCode>
                <c:ptCount val="1"/>
                <c:pt idx="0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1-4AF0-A94B-B3E16878FF2B}"/>
            </c:ext>
          </c:extLst>
        </c:ser>
        <c:ser>
          <c:idx val="1"/>
          <c:order val="1"/>
          <c:tx>
            <c:strRef>
              <c:f>D̳ashboard!$Y$96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D̳ashboard!$Y$100</c:f>
              <c:numCache>
                <c:formatCode>_-[$R$-416]\ * #,##0.00_-;\-[$R$-416]\ * #,##0.00_-;_-[$R$-416]\ * "-"??_-;_-@_-</c:formatCode>
                <c:ptCount val="1"/>
                <c:pt idx="0">
                  <c:v>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61-4AF0-A94B-B3E16878FF2B}"/>
            </c:ext>
          </c:extLst>
        </c:ser>
        <c:ser>
          <c:idx val="2"/>
          <c:order val="2"/>
          <c:tx>
            <c:strRef>
              <c:f>D̳ashboard!$Z$96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D̳ashboard!$Z$100</c:f>
              <c:numCache>
                <c:formatCode>_-[$R$-416]\ * #,##0.00_-;\-[$R$-416]\ * #,##0.00_-;_-[$R$-416]\ * "-"??_-;_-@_-</c:formatCode>
                <c:ptCount val="1"/>
                <c:pt idx="0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61-4AF0-A94B-B3E16878FF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760520"/>
        <c:axId val="961390088"/>
      </c:barChart>
      <c:catAx>
        <c:axId val="69760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90088"/>
        <c:crosses val="autoZero"/>
        <c:auto val="1"/>
        <c:lblAlgn val="ctr"/>
        <c:lblOffset val="100"/>
        <c:noMultiLvlLbl val="0"/>
      </c:catAx>
      <c:valAx>
        <c:axId val="961390088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69760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D̳ashboard!$X$89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4C-43A9-9EA7-4FAEC228897B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4C-43A9-9EA7-4FAEC228897B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4C-43A9-9EA7-4FAEC22889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D̳ashboard!$W$90:$W$93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D̳ashboard!$X$90:$X$93</c:f>
              <c:numCache>
                <c:formatCode>"R$"\ 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7-4B7C-A24C-59DC42F4E5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433796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333375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2</xdr:col>
      <xdr:colOff>666750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561975</xdr:colOff>
      <xdr:row>28</xdr:row>
      <xdr:rowOff>28574</xdr:rowOff>
    </xdr:from>
    <xdr:to>
      <xdr:col>3</xdr:col>
      <xdr:colOff>215976</xdr:colOff>
      <xdr:row>32</xdr:row>
      <xdr:rowOff>19050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561975" y="551497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40</xdr:row>
      <xdr:rowOff>57150</xdr:rowOff>
    </xdr:from>
    <xdr:to>
      <xdr:col>10</xdr:col>
      <xdr:colOff>266700</xdr:colOff>
      <xdr:row>69</xdr:row>
      <xdr:rowOff>19050</xdr:rowOff>
    </xdr:to>
    <xdr:sp macro="" textlink="">
      <xdr:nvSpPr>
        <xdr:cNvPr id="19" name="Flowchart: Alternate Process 18">
          <a:extLst>
            <a:ext uri="{FF2B5EF4-FFF2-40B4-BE49-F238E27FC236}">
              <a16:creationId xmlns:a16="http://schemas.microsoft.com/office/drawing/2014/main" id="{9EFC3E73-863C-4FDA-8322-4F7358A75091}"/>
            </a:ext>
            <a:ext uri="{147F2762-F138-4A5C-976F-8EAC2B608ADB}">
              <a16:predDERef xmlns:a16="http://schemas.microsoft.com/office/drawing/2014/main" pred="{5A6F5FEA-F435-E32E-39A1-A39CF0AD80D2}"/>
            </a:ext>
          </a:extLst>
        </xdr:cNvPr>
        <xdr:cNvSpPr/>
      </xdr:nvSpPr>
      <xdr:spPr>
        <a:xfrm>
          <a:off x="2028825" y="7858125"/>
          <a:ext cx="9915525" cy="5667375"/>
        </a:xfrm>
        <a:prstGeom prst="flowChartAlternateProcess">
          <a:avLst/>
        </a:prstGeom>
        <a:solidFill>
          <a:srgbClr val="F7F8FC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123825</xdr:colOff>
      <xdr:row>6</xdr:row>
      <xdr:rowOff>9525</xdr:rowOff>
    </xdr:from>
    <xdr:to>
      <xdr:col>10</xdr:col>
      <xdr:colOff>257175</xdr:colOff>
      <xdr:row>36</xdr:row>
      <xdr:rowOff>104775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87AA27E2-5D14-43C8-E982-25D2DEE95567}"/>
            </a:ext>
            <a:ext uri="{147F2762-F138-4A5C-976F-8EAC2B608ADB}">
              <a16:predDERef xmlns:a16="http://schemas.microsoft.com/office/drawing/2014/main" pred="{E2BC67C1-2E70-43B0-AD6D-F81FF0DDDA32}"/>
            </a:ext>
          </a:extLst>
        </xdr:cNvPr>
        <xdr:cNvSpPr/>
      </xdr:nvSpPr>
      <xdr:spPr>
        <a:xfrm>
          <a:off x="2019300" y="1152525"/>
          <a:ext cx="9648825" cy="5991225"/>
        </a:xfrm>
        <a:prstGeom prst="flowChartAlternateProcess">
          <a:avLst/>
        </a:prstGeom>
        <a:solidFill>
          <a:srgbClr val="F7F8FC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  <a:ext uri="{147F2762-F138-4A5C-976F-8EAC2B608ADB}">
              <a16:predDERef xmlns:a16="http://schemas.microsoft.com/office/drawing/2014/main" pre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16</xdr:row>
      <xdr:rowOff>152400</xdr:rowOff>
    </xdr:from>
    <xdr:to>
      <xdr:col>0</xdr:col>
      <xdr:colOff>1857375</xdr:colOff>
      <xdr:row>23</xdr:row>
      <xdr:rowOff>104775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17" name="Plans">
              <a:extLst>
                <a:ext uri="{FF2B5EF4-FFF2-40B4-BE49-F238E27FC236}">
                  <a16:creationId xmlns:a16="http://schemas.microsoft.com/office/drawing/2014/main" id="{6EEED18D-9E64-EB62-6934-0E923FBFDDD8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981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>
    <xdr:from>
      <xdr:col>1</xdr:col>
      <xdr:colOff>476250</xdr:colOff>
      <xdr:row>10</xdr:row>
      <xdr:rowOff>19050</xdr:rowOff>
    </xdr:from>
    <xdr:to>
      <xdr:col>5</xdr:col>
      <xdr:colOff>676275</xdr:colOff>
      <xdr:row>23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548507-476C-D7F4-B3AB-FCC36D043066}"/>
            </a:ext>
            <a:ext uri="{147F2762-F138-4A5C-976F-8EAC2B608ADB}">
              <a16:predDERef xmlns:a16="http://schemas.microsoft.com/office/drawing/2014/main" pred="{6EEED18D-9E64-EB62-6934-0E923FBFD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695325</xdr:colOff>
      <xdr:row>10</xdr:row>
      <xdr:rowOff>47625</xdr:rowOff>
    </xdr:from>
    <xdr:to>
      <xdr:col>9</xdr:col>
      <xdr:colOff>885825</xdr:colOff>
      <xdr:row>24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A10DF5-BE0B-ECED-2CB1-448386697AD7}"/>
            </a:ext>
            <a:ext uri="{147F2762-F138-4A5C-976F-8EAC2B608ADB}">
              <a16:predDERef xmlns:a16="http://schemas.microsoft.com/office/drawing/2014/main" pred="{BE548507-476C-D7F4-B3AB-FCC36D043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466725</xdr:colOff>
      <xdr:row>23</xdr:row>
      <xdr:rowOff>95250</xdr:rowOff>
    </xdr:from>
    <xdr:to>
      <xdr:col>5</xdr:col>
      <xdr:colOff>657225</xdr:colOff>
      <xdr:row>36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0439CE-A72A-0155-628C-ED1580D83966}"/>
            </a:ext>
            <a:ext uri="{147F2762-F138-4A5C-976F-8EAC2B608ADB}">
              <a16:predDERef xmlns:a16="http://schemas.microsoft.com/office/drawing/2014/main" pred="{EAA10DF5-BE0B-ECED-2CB1-448386697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400050</xdr:colOff>
      <xdr:row>0</xdr:row>
      <xdr:rowOff>47625</xdr:rowOff>
    </xdr:from>
    <xdr:to>
      <xdr:col>0</xdr:col>
      <xdr:colOff>1552575</xdr:colOff>
      <xdr:row>5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9F6D0E-DDA4-4628-984B-AABC84BCD42B}"/>
            </a:ext>
            <a:ext uri="{147F2762-F138-4A5C-976F-8EAC2B608ADB}">
              <a16:predDERef xmlns:a16="http://schemas.microsoft.com/office/drawing/2014/main" pred="{500439CE-A72A-0155-628C-ED1580D8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7" t="23618" r="71277" b="22111"/>
        <a:stretch>
          <a:fillRect/>
        </a:stretch>
      </xdr:blipFill>
      <xdr:spPr>
        <a:xfrm>
          <a:off x="400050" y="47625"/>
          <a:ext cx="1152525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3</xdr:row>
      <xdr:rowOff>180975</xdr:rowOff>
    </xdr:from>
    <xdr:to>
      <xdr:col>0</xdr:col>
      <xdr:colOff>1447800</xdr:colOff>
      <xdr:row>9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70AAA0-7D2F-4D04-9803-23CD980C8CA4}"/>
            </a:ext>
            <a:ext uri="{147F2762-F138-4A5C-976F-8EAC2B608ADB}">
              <a16:predDERef xmlns:a16="http://schemas.microsoft.com/office/drawing/2014/main" pred="{949F6D0E-DDA4-4628-984B-AABC84BCD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03" r="36634"/>
        <a:stretch>
          <a:fillRect/>
        </a:stretch>
      </xdr:blipFill>
      <xdr:spPr>
        <a:xfrm>
          <a:off x="381000" y="752475"/>
          <a:ext cx="1066800" cy="1019175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6</xdr:row>
      <xdr:rowOff>19050</xdr:rowOff>
    </xdr:from>
    <xdr:to>
      <xdr:col>10</xdr:col>
      <xdr:colOff>247650</xdr:colOff>
      <xdr:row>10</xdr:row>
      <xdr:rowOff>114300</xdr:rowOff>
    </xdr:to>
    <xdr:sp macro="" textlink="">
      <xdr:nvSpPr>
        <xdr:cNvPr id="9" name="Round Same Side Corner Rectangle 8">
          <a:extLst>
            <a:ext uri="{FF2B5EF4-FFF2-40B4-BE49-F238E27FC236}">
              <a16:creationId xmlns:a16="http://schemas.microsoft.com/office/drawing/2014/main" id="{51EFF601-5D72-C637-68B2-06BD590AE92C}"/>
            </a:ext>
            <a:ext uri="{147F2762-F138-4A5C-976F-8EAC2B608ADB}">
              <a16:predDERef xmlns:a16="http://schemas.microsoft.com/office/drawing/2014/main" pred="{1470AAA0-7D2F-4D04-9803-23CD980C8CA4}"/>
            </a:ext>
          </a:extLst>
        </xdr:cNvPr>
        <xdr:cNvSpPr/>
      </xdr:nvSpPr>
      <xdr:spPr>
        <a:xfrm>
          <a:off x="2019300" y="1162050"/>
          <a:ext cx="9639300" cy="8572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>
              <a:solidFill>
                <a:schemeClr val="lt1"/>
              </a:solidFill>
              <a:latin typeface="+mn-lt"/>
              <a:ea typeface="+mn-lt"/>
              <a:cs typeface="+mn-lt"/>
            </a:rPr>
            <a:t>Plans &amp; Subscriptions Summary</a:t>
          </a:r>
        </a:p>
      </xdr:txBody>
    </xdr:sp>
    <xdr:clientData/>
  </xdr:twoCellAnchor>
  <xdr:twoCellAnchor>
    <xdr:from>
      <xdr:col>5</xdr:col>
      <xdr:colOff>676275</xdr:colOff>
      <xdr:row>23</xdr:row>
      <xdr:rowOff>76200</xdr:rowOff>
    </xdr:from>
    <xdr:to>
      <xdr:col>9</xdr:col>
      <xdr:colOff>866775</xdr:colOff>
      <xdr:row>36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E56512-4909-CAF9-CAD1-ECC66D590B0F}"/>
            </a:ext>
            <a:ext uri="{147F2762-F138-4A5C-976F-8EAC2B608ADB}">
              <a16:predDERef xmlns:a16="http://schemas.microsoft.com/office/drawing/2014/main" pred="{51EFF601-5D72-C637-68B2-06BD590AE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133350</xdr:colOff>
      <xdr:row>40</xdr:row>
      <xdr:rowOff>28575</xdr:rowOff>
    </xdr:from>
    <xdr:to>
      <xdr:col>10</xdr:col>
      <xdr:colOff>257175</xdr:colOff>
      <xdr:row>44</xdr:row>
      <xdr:rowOff>123825</xdr:rowOff>
    </xdr:to>
    <xdr:sp macro="" textlink="">
      <xdr:nvSpPr>
        <xdr:cNvPr id="8" name="Round Same Side Corner Rectangle 7">
          <a:extLst>
            <a:ext uri="{FF2B5EF4-FFF2-40B4-BE49-F238E27FC236}">
              <a16:creationId xmlns:a16="http://schemas.microsoft.com/office/drawing/2014/main" id="{636EEDF7-26E6-4EAE-B4E1-49FD0A4356BE}"/>
            </a:ext>
            <a:ext uri="{147F2762-F138-4A5C-976F-8EAC2B608ADB}">
              <a16:predDERef xmlns:a16="http://schemas.microsoft.com/office/drawing/2014/main" pred="{9AE56512-4909-CAF9-CAD1-ECC66D590B0F}"/>
            </a:ext>
          </a:extLst>
        </xdr:cNvPr>
        <xdr:cNvSpPr/>
      </xdr:nvSpPr>
      <xdr:spPr>
        <a:xfrm>
          <a:off x="2028825" y="7829550"/>
          <a:ext cx="9639300" cy="8572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>
              <a:solidFill>
                <a:schemeClr val="lt1"/>
              </a:solidFill>
              <a:latin typeface="+mn-lt"/>
              <a:ea typeface="+mn-lt"/>
              <a:cs typeface="+mn-lt"/>
            </a:rPr>
            <a:t>Subscription Revenue Overview</a:t>
          </a:r>
        </a:p>
      </xdr:txBody>
    </xdr:sp>
    <xdr:clientData/>
  </xdr:twoCellAnchor>
  <xdr:twoCellAnchor editAs="absolute">
    <xdr:from>
      <xdr:col>0</xdr:col>
      <xdr:colOff>9525</xdr:colOff>
      <xdr:row>51</xdr:row>
      <xdr:rowOff>19050</xdr:rowOff>
    </xdr:from>
    <xdr:to>
      <xdr:col>0</xdr:col>
      <xdr:colOff>1838325</xdr:colOff>
      <xdr:row>57</xdr:row>
      <xdr:rowOff>47625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15" name="Subscription Type">
              <a:extLst>
                <a:ext uri="{FF2B5EF4-FFF2-40B4-BE49-F238E27FC236}">
                  <a16:creationId xmlns:a16="http://schemas.microsoft.com/office/drawing/2014/main" id="{0CA114AF-A2C5-0C10-8AAC-65E5BD7A7E94}"/>
                </a:ext>
                <a:ext uri="{147F2762-F138-4A5C-976F-8EAC2B608ADB}">
                  <a16:predDERef xmlns:a16="http://schemas.microsoft.com/office/drawing/2014/main" pred="{636EEDF7-26E6-4EAE-B4E1-49FD0A4356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973455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762000</xdr:colOff>
      <xdr:row>44</xdr:row>
      <xdr:rowOff>123825</xdr:rowOff>
    </xdr:from>
    <xdr:to>
      <xdr:col>10</xdr:col>
      <xdr:colOff>257175</xdr:colOff>
      <xdr:row>69</xdr:row>
      <xdr:rowOff>47625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A6F5FEA-F435-E32E-39A1-A39CF0AD80D2}"/>
            </a:ext>
            <a:ext uri="{147F2762-F138-4A5C-976F-8EAC2B608ADB}">
              <a16:predDERef xmlns:a16="http://schemas.microsoft.com/office/drawing/2014/main" pred="{0CA114AF-A2C5-0C10-8AAC-65E5BD7A7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381000</xdr:colOff>
      <xdr:row>55</xdr:row>
      <xdr:rowOff>28575</xdr:rowOff>
    </xdr:from>
    <xdr:to>
      <xdr:col>5</xdr:col>
      <xdr:colOff>723900</xdr:colOff>
      <xdr:row>69</xdr:row>
      <xdr:rowOff>104775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6C5B94E-761F-7DC5-501F-B6608AF37DC0}"/>
            </a:ext>
            <a:ext uri="{147F2762-F138-4A5C-976F-8EAC2B608ADB}">
              <a16:predDERef xmlns:a16="http://schemas.microsoft.com/office/drawing/2014/main" pred="{5A6F5FEA-F435-E32E-39A1-A39CF0AD8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495300</xdr:colOff>
      <xdr:row>44</xdr:row>
      <xdr:rowOff>152400</xdr:rowOff>
    </xdr:from>
    <xdr:to>
      <xdr:col>5</xdr:col>
      <xdr:colOff>638175</xdr:colOff>
      <xdr:row>56</xdr:row>
      <xdr:rowOff>38100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2D71D0A-A281-8926-4D9D-B6A20E62C8F1}"/>
            </a:ext>
            <a:ext uri="{147F2762-F138-4A5C-976F-8EAC2B608ADB}">
              <a16:predDERef xmlns:a16="http://schemas.microsoft.com/office/drawing/2014/main" pred="{56C5B94E-761F-7DC5-501F-B6608AF37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lans" xr10:uid="{62699557-A803-447F-8542-D9CAA2FEDBB6}" sourceName="Plans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_Type" xr10:uid="{F278F513-7A7D-4801-A56D-904FE795B917}" sourceName="Subscription Type">
  <extLst>
    <x:ext xmlns:x15="http://schemas.microsoft.com/office/spreadsheetml/2010/11/main" uri="{2F2917AC-EB37-4324-AD4E-5DD8C200BD13}">
      <x15:tableSlicerCache tableId="4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s" xr10:uid="{DDFEB07B-87BC-4078-BCFE-C1A4C8707700}" cache="Slicer_Plans" caption="Plans" style="SlicerStyleDark3" rowHeight="228600"/>
  <slicer name="Subscription Type" xr10:uid="{4057EE99-B6A9-433F-B781-ABD299FACC77}" cache="Slicer_Subscription_Type" caption="Subscription Type" style="SlicerStyleDark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5">
  <autoFilter ref="A1:M296" xr:uid="{34E0E886-4200-4B36-97B3-63DB74FF40A0}"/>
  <tableColumns count="13">
    <tableColumn id="1" xr3:uid="{C4A90516-688A-46BF-9167-EA16C2A8A652}" name="Subscriber ID" dataDxfId="54"/>
    <tableColumn id="2" xr3:uid="{53DD39D0-2220-4121-9E9D-4EAA7E151C0F}" name="Name" dataDxfId="53"/>
    <tableColumn id="3" xr3:uid="{4F5FF271-4C57-4BE0-8F2C-F82C8551625C}" name="Plan" dataDxfId="52"/>
    <tableColumn id="4" xr3:uid="{8C17EB93-79B9-4E55-B8F7-BEB82F8253E9}" name="Start Date" dataDxfId="51"/>
    <tableColumn id="5" xr3:uid="{48CEDF9B-1689-482A-A828-5CCE7713264A}" name="Auto Renewal" dataDxfId="50"/>
    <tableColumn id="6" xr3:uid="{78B82374-9AA7-4E38-AE4F-78CDE6C83720}" name="Subscription Price" dataDxfId="49"/>
    <tableColumn id="7" xr3:uid="{F2433F68-AF33-49D0-B1FB-19A396074EDE}" name="Subscription Type" dataDxfId="48"/>
    <tableColumn id="8" xr3:uid="{FD4D9C95-F6E5-4933-9068-A71FF7DF9343}" name="EA Play Season Pass" dataDxfId="47"/>
    <tableColumn id="13" xr3:uid="{978DD0D2-834E-4CE4-A39B-30976086932F}" name="EA Play Season Pass_x000a_Price" dataDxfId="46"/>
    <tableColumn id="9" xr3:uid="{6E29F111-C395-4580-9DAD-3407D9E8B1A4}" name="Minecraft Season Pass" dataDxfId="45"/>
    <tableColumn id="10" xr3:uid="{EF544EAA-7F25-4FD5-A10E-8E62804DB9E3}" name="Minecraft Season Pass Price" dataDxfId="44"/>
    <tableColumn id="11" xr3:uid="{7F6EB64A-1F07-4E48-9F0F-AC7D9DCD26F8}" name="Coupon Value" dataDxfId="43"/>
    <tableColumn id="12" xr3:uid="{2B04ABC8-DE6F-426E-ADC0-D8AFC68CA58E}" name="Total Value" dataDxfId="4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2DEC3A-940D-467B-87D2-D9007966B4F0}" name="Table2" displayName="Table2" ref="W80:AD84" totalsRowCount="1" headerRowDxfId="41" dataDxfId="40" totalsRowDxfId="39" tableBorderDxfId="38">
  <autoFilter ref="W80:AD83" xr:uid="{7A2DEC3A-940D-467B-87D2-D9007966B4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130D020-1A53-41D7-A0B9-2EAAC5604A8E}" name="Plans" dataDxfId="36" totalsRowDxfId="37"/>
    <tableColumn id="2" xr3:uid="{F14BD57A-0693-4478-A941-379A50BD2141}" name="QTD" totalsRowFunction="custom" dataDxfId="34" totalsRowDxfId="35">
      <calculatedColumnFormula>COUNTIF(Tabela1[Plan], Table2[[#This Row],[Plans]])</calculatedColumnFormula>
      <totalsRowFormula>SUBTOTAL(109,X81:X83)</totalsRowFormula>
    </tableColumn>
    <tableColumn id="4" xr3:uid="{20996D95-91CA-49BF-81A3-572C624D2E66}" name="Auto Renewal _x000a_Yes" totalsRowFunction="custom" dataDxfId="32" totalsRowDxfId="33">
      <calculatedColumnFormula>COUNTIFS(Tabela1[Plan], Table2[[#This Row],[Plans]],Tabela1[Auto Renewal],"YES")</calculatedColumnFormula>
      <totalsRowFormula>SUBTOTAL(109,Y81:Y83)</totalsRowFormula>
    </tableColumn>
    <tableColumn id="5" xr3:uid="{97715248-9F18-498C-8DCD-495C383DEBCB}" name="Auto Renewal NO" totalsRowFunction="custom" dataDxfId="30" totalsRowDxfId="31">
      <calculatedColumnFormula>COUNTIFS(Tabela1[Plan], Table2[[#This Row],[Plans]],Tabela1[Auto Renewal],"NO")</calculatedColumnFormula>
      <totalsRowFormula>SUBTOTAL(109,Z81:Z83)</totalsRowFormula>
    </tableColumn>
    <tableColumn id="6" xr3:uid="{ED150C8C-33B7-4321-9041-3E184F5B7D29}" name="EA Play Season Pass _x000a_YES" totalsRowFunction="custom" dataDxfId="28" totalsRowDxfId="29">
      <calculatedColumnFormula>COUNTIFS(Tabela1[Plan], Table2[[#This Row],[Plans]],Tabela1[EA Play Season Pass],"YES")</calculatedColumnFormula>
      <totalsRowFormula>SUBTOTAL(109,AA81:AA83)</totalsRowFormula>
    </tableColumn>
    <tableColumn id="7" xr3:uid="{429B4AE1-BF39-4D96-9204-649CB6ECC01A}" name="EA Play Season Pass _x000a_No" totalsRowFunction="custom" dataDxfId="26" totalsRowDxfId="27">
      <calculatedColumnFormula>COUNTIFS(Tabela1[Plan], Table2[[#This Row],[Plans]],Tabela1[EA Play Season Pass],"NO")</calculatedColumnFormula>
      <totalsRowFormula>SUBTOTAL(109,AB81:AB83)</totalsRowFormula>
    </tableColumn>
    <tableColumn id="3" xr3:uid="{6FB0F413-8897-4092-BB57-B60852F75B69}" name="Minecraft Season Pass _x000a_YES" totalsRowFunction="custom" dataDxfId="24" totalsRowDxfId="25">
      <calculatedColumnFormula>COUNTIFS(Tabela1[Plan], Table2[[#This Row],[Plans]],Tabela1[Minecraft Season Pass],"YES")</calculatedColumnFormula>
      <totalsRowFormula>SUBTOTAL(109,AC81:AC83)</totalsRowFormula>
    </tableColumn>
    <tableColumn id="8" xr3:uid="{25AECDC4-74B1-4B4D-AF34-BDA3F8089D4A}" name="Minecraft Season Pass _x000a_No" totalsRowFunction="custom" dataDxfId="22" totalsRowDxfId="23">
      <calculatedColumnFormula>COUNTIFS(Tabela1[Plan], Table2[[#This Row],[Plans]],Tabela1[Minecraft Season Pass],"NO")</calculatedColumnFormula>
      <totalsRowFormula>SUBTOTAL(109,AD81:AD83)</totalsRow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32D540-7E46-427D-8320-3BC55D73D814}" name="Table3" displayName="Table3" ref="W89:X93" totalsRowCount="1" headerRowDxfId="21" dataDxfId="20" totalsRowDxfId="19" tableBorderDxfId="18">
  <autoFilter ref="W89:X92" xr:uid="{6432D540-7E46-427D-8320-3BC55D73D814}">
    <filterColumn colId="0" hiddenButton="1"/>
    <filterColumn colId="1" hiddenButton="1"/>
  </autoFilter>
  <tableColumns count="2">
    <tableColumn id="1" xr3:uid="{A1DBD6FC-C77C-4CA1-9564-08120A61C29E}" name="Plans" totalsRowLabel="Total" dataDxfId="16" totalsRowDxfId="17"/>
    <tableColumn id="2" xr3:uid="{A440585B-32B2-4F4E-9A8E-EB4325E93114}" name="total" totalsRowFunction="sum" dataDxfId="14" totalsRowDxfId="15">
      <calculatedColumnFormula>SUMIF(B̳ases!C:C,D̳ashboard!W90,B̳ases!M:M)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DD27AA-79D6-4D2B-8039-EEECE05F953E}" name="Table4" displayName="Table4" ref="W96:AA100" totalsRowCount="1" headerRowDxfId="13" dataDxfId="12" totalsRowDxfId="11" tableBorderDxfId="10">
  <autoFilter ref="W96:AA99" xr:uid="{4ADD27AA-79D6-4D2B-8039-EEECE05F953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FD82DE1-C384-4B70-A548-0B52A9DA2D66}" name="Subscription Type" totalsRowLabel="Total" dataDxfId="8" totalsRowDxfId="9"/>
    <tableColumn id="2" xr3:uid="{2BBAD012-3BE0-49AD-B955-89509B9FE674}" name="Core" totalsRowFunction="custom" dataDxfId="6" totalsRowDxfId="7">
      <totalsRowFormula>SUBTOTAL(109,X97:X99)</totalsRowFormula>
    </tableColumn>
    <tableColumn id="3" xr3:uid="{C7B8F651-7B05-442F-BBE6-5521E5229DF7}" name="Standard" totalsRowFunction="custom" dataDxfId="4" totalsRowDxfId="5">
      <totalsRowFormula>SUBTOTAL(109,Y97:Y99)</totalsRowFormula>
    </tableColumn>
    <tableColumn id="4" xr3:uid="{ED9F61BC-D31A-400A-93A4-25C26A43AB17}" name="Ultimate" totalsRowFunction="sum" dataDxfId="2" totalsRowDxfId="3"/>
    <tableColumn id="5" xr3:uid="{82BD1510-724D-4F6D-ACE7-C030F1A2B13C}" name="TOTAL" totalsRowFunction="custom" dataDxfId="0" totalsRowDxfId="1">
      <calculatedColumnFormula>SUM(Table4[[#This Row],[Core]:[Ultimate]])</calculatedColumnFormula>
      <totalsRowFormula>SUBTOTAL(109,AA97:AA99)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Relationship Id="rId5" Type="http://schemas.microsoft.com/office/2007/relationships/slicer" Target="../slicers/slicer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/>
  <cols>
    <col min="3" max="3" width="10.140625" bestFit="1" customWidth="1"/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1" sqref="G1"/>
    </sheetView>
  </sheetViews>
  <sheetFormatPr defaultRowHeight="15"/>
  <cols>
    <col min="1" max="1" width="15.140625" bestFit="1" customWidth="1"/>
    <col min="2" max="2" width="18.140625" bestFit="1" customWidth="1"/>
    <col min="3" max="3" width="11.28515625" customWidth="1"/>
    <col min="4" max="4" width="15.140625" customWidth="1"/>
    <col min="5" max="5" width="18.28515625" customWidth="1"/>
    <col min="6" max="6" width="20.28515625" style="12" customWidth="1"/>
    <col min="7" max="7" width="19" bestFit="1" customWidth="1"/>
    <col min="8" max="9" width="21.140625" bestFit="1" customWidth="1"/>
    <col min="10" max="10" width="19" bestFit="1" customWidth="1"/>
    <col min="11" max="11" width="23.5703125" bestFit="1" customWidth="1"/>
    <col min="12" max="12" width="18" customWidth="1"/>
    <col min="13" max="13" width="12.85546875" bestFit="1" customWidth="1"/>
  </cols>
  <sheetData>
    <row r="1" spans="1:13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  <pageSetUpPr fitToPage="1"/>
  </sheetPr>
  <dimension ref="A1:AD101"/>
  <sheetViews>
    <sheetView showGridLines="0" showRowColHeaders="0" tabSelected="1" topLeftCell="A32" workbookViewId="0">
      <selection activeCell="K107" sqref="K10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85546875" defaultRowHeight="15"/>
  <cols>
    <col min="1" max="1" width="28.42578125" style="4" customWidth="1"/>
    <col min="2" max="9" width="15.85546875" style="24" customWidth="1"/>
    <col min="10" max="10" width="19.85546875" style="24" customWidth="1"/>
    <col min="11" max="11" width="4.5703125" style="25" customWidth="1"/>
    <col min="12" max="12" width="15.85546875" style="25" customWidth="1"/>
    <col min="13" max="19" width="8.85546875" style="25"/>
    <col min="23" max="23" width="13.7109375" customWidth="1"/>
    <col min="24" max="24" width="11.140625" bestFit="1" customWidth="1"/>
    <col min="25" max="25" width="19.7109375" customWidth="1"/>
    <col min="26" max="26" width="23.7109375" customWidth="1"/>
    <col min="27" max="28" width="21" bestFit="1" customWidth="1"/>
    <col min="29" max="30" width="22.85546875" bestFit="1" customWidth="1"/>
  </cols>
  <sheetData>
    <row r="1" spans="1:19" ht="15" customHeight="1">
      <c r="A1" s="20"/>
      <c r="B1" s="33" t="s">
        <v>313</v>
      </c>
      <c r="C1" s="33"/>
      <c r="D1" s="33"/>
      <c r="E1" s="33"/>
      <c r="F1" s="33"/>
      <c r="G1" s="33"/>
      <c r="H1" s="33"/>
      <c r="I1" s="33"/>
      <c r="J1" s="33"/>
      <c r="K1" s="33"/>
      <c r="L1" s="19"/>
      <c r="M1" s="19"/>
      <c r="N1" s="19"/>
      <c r="O1" s="19"/>
      <c r="P1" s="19"/>
      <c r="Q1" s="19"/>
      <c r="R1" s="19"/>
      <c r="S1" s="19"/>
    </row>
    <row r="2" spans="1:19" ht="15" customHeight="1">
      <c r="A2" s="20"/>
      <c r="B2" s="33"/>
      <c r="C2" s="33"/>
      <c r="D2" s="33"/>
      <c r="E2" s="33"/>
      <c r="F2" s="33"/>
      <c r="G2" s="33"/>
      <c r="H2" s="33"/>
      <c r="I2" s="33"/>
      <c r="J2" s="33"/>
      <c r="K2" s="33"/>
      <c r="L2" s="23"/>
      <c r="M2" s="19"/>
      <c r="N2" s="19"/>
      <c r="O2" s="19"/>
      <c r="P2" s="19"/>
      <c r="Q2" s="19"/>
      <c r="R2" s="19"/>
      <c r="S2" s="19"/>
    </row>
    <row r="3" spans="1:19" ht="15" customHeight="1">
      <c r="A3" s="20"/>
      <c r="B3" s="34"/>
      <c r="C3" s="34"/>
      <c r="D3" s="34"/>
      <c r="E3" s="34"/>
      <c r="F3" s="34"/>
      <c r="G3" s="34"/>
      <c r="H3" s="34"/>
      <c r="I3" s="34"/>
      <c r="J3" s="34"/>
      <c r="K3" s="34"/>
      <c r="L3" s="23"/>
      <c r="M3" s="19"/>
      <c r="N3" s="19"/>
      <c r="O3" s="19"/>
      <c r="P3" s="19"/>
      <c r="Q3" s="19"/>
      <c r="R3" s="19"/>
      <c r="S3" s="19"/>
    </row>
    <row r="4" spans="1:19">
      <c r="A4" s="20"/>
      <c r="B4" s="22" t="s">
        <v>314</v>
      </c>
      <c r="C4" s="18"/>
      <c r="D4" s="18"/>
      <c r="E4" s="18"/>
      <c r="F4" s="18"/>
      <c r="G4" s="18"/>
      <c r="H4" s="17"/>
      <c r="I4" s="18"/>
      <c r="J4" s="18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20"/>
      <c r="B5" s="13"/>
      <c r="C5" s="13"/>
      <c r="D5" s="13"/>
      <c r="E5" s="13"/>
      <c r="F5" s="13"/>
      <c r="G5" s="13"/>
      <c r="H5" s="14"/>
      <c r="I5" s="13"/>
      <c r="J5" s="13"/>
      <c r="K5" s="7"/>
      <c r="L5" s="7"/>
      <c r="M5" s="7"/>
      <c r="N5" s="7"/>
      <c r="O5" s="7"/>
      <c r="P5" s="7"/>
      <c r="Q5" s="7"/>
      <c r="R5" s="7"/>
      <c r="S5" s="7"/>
    </row>
    <row r="6" spans="1:19">
      <c r="A6" s="20"/>
      <c r="B6" s="13"/>
      <c r="C6" s="13"/>
      <c r="D6" s="13"/>
      <c r="E6" s="13"/>
      <c r="F6" s="13"/>
      <c r="G6" s="13"/>
      <c r="H6" s="14"/>
      <c r="I6" s="13"/>
      <c r="J6" s="13"/>
      <c r="K6" s="7"/>
      <c r="L6" s="7"/>
      <c r="M6" s="7"/>
      <c r="N6" s="7"/>
      <c r="O6" s="7"/>
      <c r="P6" s="7"/>
      <c r="Q6" s="7"/>
      <c r="R6" s="7"/>
      <c r="S6" s="7"/>
    </row>
    <row r="7" spans="1:19">
      <c r="A7" s="20"/>
      <c r="B7" s="15"/>
      <c r="C7" s="15"/>
      <c r="D7" s="15"/>
      <c r="E7" s="15"/>
      <c r="F7" s="15"/>
      <c r="G7" s="15"/>
      <c r="H7" s="14"/>
      <c r="I7" s="13"/>
      <c r="J7" s="13"/>
      <c r="K7" s="7"/>
      <c r="L7" s="7"/>
      <c r="M7" s="7"/>
      <c r="N7" s="7"/>
      <c r="O7" s="7"/>
      <c r="P7" s="7"/>
      <c r="Q7" s="7"/>
      <c r="R7" s="7"/>
      <c r="S7" s="7"/>
    </row>
    <row r="8" spans="1:19">
      <c r="A8" s="20"/>
      <c r="B8" s="16"/>
      <c r="C8" s="16"/>
      <c r="D8" s="15"/>
      <c r="E8" s="15"/>
      <c r="F8" s="15"/>
      <c r="G8" s="15"/>
      <c r="H8" s="14"/>
      <c r="I8" s="13"/>
      <c r="J8" s="13"/>
      <c r="K8" s="7"/>
      <c r="L8" s="7"/>
      <c r="M8" s="7"/>
      <c r="N8" s="7"/>
      <c r="O8" s="7"/>
      <c r="P8" s="7"/>
      <c r="Q8" s="7"/>
      <c r="R8" s="7"/>
      <c r="S8" s="7"/>
    </row>
    <row r="9" spans="1:19">
      <c r="A9" s="20"/>
      <c r="B9" s="15"/>
      <c r="C9" s="15"/>
      <c r="D9" s="15"/>
      <c r="E9" s="15"/>
      <c r="F9" s="15"/>
      <c r="G9" s="15"/>
      <c r="H9" s="14"/>
      <c r="I9" s="13"/>
      <c r="J9" s="13"/>
      <c r="K9" s="7"/>
      <c r="L9" s="7"/>
      <c r="M9" s="7"/>
      <c r="N9" s="21"/>
      <c r="O9" s="7"/>
      <c r="P9" s="7"/>
      <c r="Q9" s="7"/>
      <c r="R9" s="7"/>
      <c r="S9" s="7"/>
    </row>
    <row r="10" spans="1:19">
      <c r="A10" s="20"/>
      <c r="B10" s="16"/>
      <c r="C10" s="16"/>
      <c r="D10" s="16"/>
      <c r="E10" s="16"/>
      <c r="F10" s="16"/>
      <c r="G10" s="16"/>
      <c r="H10" s="14"/>
      <c r="I10" s="13"/>
      <c r="J10" s="13"/>
      <c r="K10" s="7"/>
      <c r="L10" s="7"/>
      <c r="M10" s="7"/>
      <c r="N10" s="7"/>
      <c r="O10" s="7"/>
      <c r="P10" s="7"/>
      <c r="Q10" s="7"/>
      <c r="R10" s="7"/>
      <c r="S10" s="7"/>
    </row>
    <row r="11" spans="1:19">
      <c r="B11" s="16"/>
      <c r="C11" s="16"/>
      <c r="D11" s="16"/>
      <c r="E11" s="16"/>
      <c r="F11" s="16"/>
      <c r="G11" s="16"/>
      <c r="H11" s="13"/>
      <c r="I11" s="13"/>
      <c r="J11" s="13"/>
      <c r="K11" s="7"/>
      <c r="L11" s="7"/>
      <c r="M11" s="7"/>
      <c r="N11" s="7"/>
      <c r="O11" s="7"/>
      <c r="P11" s="7"/>
      <c r="Q11" s="7"/>
      <c r="R11" s="7"/>
      <c r="S11" s="7"/>
    </row>
    <row r="12" spans="1:19">
      <c r="B12" s="7"/>
      <c r="C12" s="7"/>
      <c r="D12" s="7"/>
      <c r="E12" s="7"/>
      <c r="F12" s="7"/>
      <c r="G12" s="7"/>
      <c r="H12" s="13"/>
      <c r="I12" s="13"/>
      <c r="J12" s="13"/>
      <c r="K12" s="7"/>
      <c r="L12" s="7"/>
      <c r="M12" s="7"/>
      <c r="N12" s="7"/>
      <c r="O12" s="7"/>
      <c r="P12" s="7"/>
      <c r="Q12" s="7"/>
      <c r="R12" s="7"/>
      <c r="S12" s="7"/>
    </row>
    <row r="13" spans="1:19">
      <c r="B13" s="7"/>
      <c r="C13" s="7"/>
      <c r="D13" s="7"/>
      <c r="E13" s="7"/>
      <c r="F13" s="7"/>
      <c r="G13" s="7"/>
      <c r="H13" s="13"/>
      <c r="I13" s="13"/>
      <c r="J13" s="13"/>
      <c r="K13" s="7"/>
      <c r="L13" s="7"/>
      <c r="M13" s="7"/>
      <c r="N13" s="7"/>
      <c r="O13" s="7"/>
      <c r="P13" s="7"/>
      <c r="Q13" s="7"/>
      <c r="R13" s="7"/>
      <c r="S13" s="7"/>
    </row>
    <row r="14" spans="1:19">
      <c r="B14" s="7"/>
      <c r="C14" s="7"/>
      <c r="D14" s="7"/>
      <c r="E14" s="7"/>
      <c r="F14" s="7"/>
      <c r="G14" s="7"/>
      <c r="H14" s="13"/>
      <c r="I14" s="13"/>
      <c r="J14" s="13"/>
      <c r="K14" s="7"/>
      <c r="L14" s="7"/>
      <c r="M14" s="7"/>
      <c r="N14" s="7"/>
      <c r="O14" s="7"/>
      <c r="P14" s="7"/>
      <c r="Q14" s="7"/>
      <c r="R14" s="7"/>
      <c r="S14" s="7"/>
    </row>
    <row r="15" spans="1:19">
      <c r="B15" s="7"/>
      <c r="C15" s="13"/>
      <c r="D15" s="13"/>
      <c r="E15" s="13"/>
      <c r="F15" s="13"/>
      <c r="G15" s="13"/>
      <c r="H15" s="13"/>
      <c r="I15" s="13"/>
      <c r="J15" s="13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B16" s="7"/>
      <c r="C16" s="13"/>
      <c r="D16" s="13"/>
      <c r="E16" s="13"/>
      <c r="F16" s="13"/>
      <c r="G16" s="13"/>
      <c r="H16" s="13"/>
      <c r="I16" s="13"/>
      <c r="J16" s="13"/>
      <c r="K16" s="7"/>
      <c r="L16" s="7"/>
      <c r="M16" s="7"/>
      <c r="N16" s="7"/>
      <c r="O16" s="7"/>
      <c r="P16" s="7"/>
      <c r="Q16" s="7"/>
      <c r="R16" s="7"/>
      <c r="S16" s="7"/>
    </row>
    <row r="17" spans="2:19">
      <c r="B17" s="7"/>
      <c r="C17" s="13"/>
      <c r="D17" s="13"/>
      <c r="E17" s="13"/>
      <c r="F17" s="13"/>
      <c r="G17" s="13"/>
      <c r="H17" s="13"/>
      <c r="I17" s="13"/>
      <c r="J17" s="13"/>
      <c r="K17" s="7"/>
      <c r="L17" s="7"/>
      <c r="M17" s="7"/>
      <c r="N17" s="7"/>
      <c r="O17" s="7"/>
      <c r="P17" s="7"/>
      <c r="Q17" s="7"/>
      <c r="R17" s="7"/>
      <c r="S17" s="7"/>
    </row>
    <row r="18" spans="2:19">
      <c r="B18" s="7"/>
      <c r="C18" s="13"/>
      <c r="D18" s="13"/>
      <c r="E18" s="13"/>
      <c r="F18" s="13"/>
      <c r="G18" s="13"/>
      <c r="H18" s="13"/>
      <c r="I18" s="13"/>
      <c r="J18" s="13"/>
      <c r="K18" s="7"/>
      <c r="L18" s="7"/>
      <c r="M18" s="7"/>
      <c r="N18" s="7"/>
      <c r="O18" s="7"/>
      <c r="P18" s="7"/>
      <c r="Q18" s="7"/>
      <c r="R18" s="7"/>
      <c r="S18" s="7"/>
    </row>
    <row r="19" spans="2:19">
      <c r="B19" s="7"/>
      <c r="C19" s="7"/>
      <c r="D19" s="7"/>
      <c r="E19" s="7"/>
      <c r="F19" s="13"/>
      <c r="G19" s="13"/>
      <c r="H19" s="13"/>
      <c r="I19" s="13"/>
      <c r="J19" s="13"/>
      <c r="K19" s="7"/>
      <c r="L19" s="7"/>
      <c r="M19" s="7"/>
      <c r="N19" s="7"/>
      <c r="O19" s="7"/>
      <c r="P19" s="7"/>
      <c r="Q19" s="7"/>
      <c r="R19" s="7"/>
      <c r="S19" s="7"/>
    </row>
    <row r="20" spans="2:19">
      <c r="B20" s="7"/>
      <c r="C20" s="7"/>
      <c r="D20" s="7"/>
      <c r="E20" s="7"/>
      <c r="F20" s="13"/>
      <c r="G20" s="13"/>
      <c r="H20" s="13"/>
      <c r="I20" s="13"/>
      <c r="J20" s="13"/>
      <c r="K20" s="7"/>
      <c r="L20" s="7"/>
      <c r="M20" s="7"/>
      <c r="N20" s="7"/>
      <c r="O20" s="7"/>
      <c r="P20" s="7"/>
      <c r="Q20" s="7"/>
      <c r="R20" s="7"/>
      <c r="S20" s="7"/>
    </row>
    <row r="21" spans="2:19">
      <c r="B21" s="7"/>
      <c r="C21" s="7"/>
      <c r="D21" s="7"/>
      <c r="E21" s="7"/>
      <c r="F21" s="13"/>
      <c r="G21" s="13"/>
      <c r="H21" s="13"/>
      <c r="I21" s="13"/>
      <c r="J21" s="13"/>
      <c r="K21" s="7"/>
      <c r="L21" s="7"/>
      <c r="M21" s="7"/>
      <c r="N21" s="7"/>
      <c r="O21" s="7"/>
      <c r="P21" s="7"/>
      <c r="Q21" s="7"/>
      <c r="R21" s="7"/>
      <c r="S21" s="7"/>
    </row>
    <row r="22" spans="2:19">
      <c r="B22" s="7"/>
      <c r="C22" s="7"/>
      <c r="D22" s="7"/>
      <c r="E22" s="7"/>
      <c r="F22" s="13"/>
      <c r="G22" s="13"/>
      <c r="H22" s="13"/>
      <c r="I22" s="13"/>
      <c r="J22" s="13"/>
      <c r="K22" s="7"/>
      <c r="L22" s="7"/>
      <c r="M22" s="7"/>
      <c r="N22" s="7"/>
      <c r="O22" s="7"/>
      <c r="P22" s="7"/>
      <c r="Q22" s="7"/>
      <c r="R22" s="7"/>
      <c r="S22" s="7"/>
    </row>
    <row r="23" spans="2:19">
      <c r="B23" s="7"/>
      <c r="C23" s="7"/>
      <c r="D23" s="7"/>
      <c r="E23" s="7"/>
      <c r="F23" s="13"/>
      <c r="G23" s="13"/>
      <c r="H23" s="13"/>
      <c r="I23" s="13"/>
      <c r="J23" s="13"/>
      <c r="K23" s="7"/>
      <c r="L23" s="7"/>
      <c r="M23" s="7"/>
      <c r="N23" s="7"/>
      <c r="O23" s="7"/>
      <c r="P23" s="7"/>
      <c r="Q23" s="7"/>
      <c r="R23" s="7"/>
      <c r="S23" s="7"/>
    </row>
    <row r="24" spans="2:19">
      <c r="B24" s="7"/>
      <c r="C24" s="7"/>
      <c r="D24" s="7"/>
      <c r="E24" s="7"/>
      <c r="F24" s="13"/>
      <c r="G24" s="13"/>
      <c r="H24" s="13"/>
      <c r="I24" s="13"/>
      <c r="J24" s="13"/>
      <c r="K24" s="7"/>
      <c r="L24" s="7"/>
      <c r="M24" s="7"/>
      <c r="N24" s="7"/>
      <c r="O24" s="7"/>
      <c r="P24" s="7"/>
      <c r="Q24" s="7"/>
      <c r="R24" s="7"/>
      <c r="S24" s="7"/>
    </row>
    <row r="25" spans="2:19">
      <c r="B25" s="7"/>
      <c r="C25" s="7"/>
      <c r="D25" s="7"/>
      <c r="E25" s="7"/>
      <c r="F25" s="13"/>
      <c r="G25" s="13"/>
      <c r="H25" s="13"/>
      <c r="I25" s="13"/>
      <c r="J25" s="13"/>
      <c r="K25" s="7"/>
      <c r="L25" s="7"/>
      <c r="M25" s="7"/>
      <c r="N25" s="7"/>
      <c r="O25" s="7"/>
      <c r="P25" s="7"/>
      <c r="Q25" s="7"/>
      <c r="R25" s="7"/>
      <c r="S25" s="7"/>
    </row>
    <row r="26" spans="2:19">
      <c r="B26" s="7"/>
      <c r="C26" s="7"/>
      <c r="D26" s="7"/>
      <c r="E26" s="7"/>
      <c r="F26" s="13"/>
      <c r="G26" s="13"/>
      <c r="H26" s="13"/>
      <c r="I26" s="13"/>
      <c r="J26" s="13"/>
      <c r="K26" s="7"/>
      <c r="L26" s="7"/>
      <c r="M26" s="7"/>
      <c r="N26" s="7"/>
      <c r="O26" s="7"/>
      <c r="P26" s="7"/>
      <c r="Q26" s="7"/>
      <c r="R26" s="7"/>
      <c r="S26" s="7"/>
    </row>
    <row r="27" spans="2:19">
      <c r="B27" s="7"/>
      <c r="C27" s="7"/>
      <c r="D27" s="7"/>
      <c r="E27" s="7"/>
      <c r="F27" s="13"/>
      <c r="G27" s="13"/>
      <c r="H27" s="13"/>
      <c r="I27" s="13"/>
      <c r="J27" s="13"/>
      <c r="K27" s="7"/>
      <c r="L27" s="7"/>
      <c r="M27" s="7"/>
      <c r="N27" s="7"/>
      <c r="O27" s="7"/>
      <c r="P27" s="7"/>
      <c r="Q27" s="7"/>
      <c r="R27" s="7"/>
      <c r="S27" s="7"/>
    </row>
    <row r="28" spans="2:19">
      <c r="B28" s="13"/>
      <c r="C28" s="7"/>
      <c r="D28" s="7"/>
      <c r="E28" s="7"/>
      <c r="F28" s="13"/>
      <c r="G28" s="13"/>
      <c r="H28" s="13"/>
      <c r="I28" s="13"/>
      <c r="J28" s="13"/>
      <c r="K28" s="7"/>
      <c r="L28" s="7"/>
      <c r="M28" s="7"/>
      <c r="N28" s="7"/>
      <c r="O28" s="7"/>
      <c r="P28" s="7"/>
      <c r="Q28" s="7"/>
      <c r="R28" s="7"/>
      <c r="S28" s="7"/>
    </row>
    <row r="29" spans="2:19">
      <c r="B29" s="13"/>
      <c r="C29" s="7"/>
      <c r="D29" s="7"/>
      <c r="E29" s="7"/>
      <c r="F29" s="13"/>
      <c r="G29" s="13"/>
      <c r="H29" s="13"/>
      <c r="I29" s="13"/>
      <c r="J29" s="13"/>
      <c r="K29" s="7"/>
      <c r="L29" s="7"/>
      <c r="M29" s="7"/>
      <c r="N29" s="7"/>
      <c r="O29" s="7"/>
      <c r="P29" s="7"/>
      <c r="Q29" s="7"/>
      <c r="R29" s="7"/>
      <c r="S29" s="7"/>
    </row>
    <row r="30" spans="2:19">
      <c r="B30" s="13"/>
      <c r="C30" s="7"/>
      <c r="D30" s="7"/>
      <c r="E30" s="7"/>
      <c r="F30" s="13"/>
      <c r="G30" s="13"/>
      <c r="H30" s="13"/>
      <c r="I30" s="13"/>
      <c r="J30" s="13"/>
      <c r="K30" s="7"/>
      <c r="L30" s="7"/>
      <c r="M30" s="7"/>
      <c r="N30" s="7"/>
      <c r="O30" s="7"/>
      <c r="P30" s="7"/>
      <c r="Q30" s="7"/>
      <c r="R30" s="7"/>
      <c r="S30" s="7"/>
    </row>
    <row r="31" spans="2:19">
      <c r="B31" s="13"/>
      <c r="C31" s="7"/>
      <c r="D31" s="7"/>
      <c r="E31" s="7"/>
      <c r="F31" s="13"/>
      <c r="G31" s="13"/>
      <c r="H31" s="13"/>
      <c r="I31" s="13"/>
      <c r="J31" s="13"/>
      <c r="K31" s="7"/>
      <c r="L31" s="7"/>
      <c r="M31" s="7"/>
      <c r="N31" s="7"/>
      <c r="O31" s="7"/>
      <c r="P31" s="7"/>
      <c r="Q31" s="7"/>
      <c r="R31" s="7"/>
      <c r="S31" s="7"/>
    </row>
    <row r="32" spans="2:19">
      <c r="B32" s="13"/>
      <c r="C32" s="13"/>
      <c r="D32" s="13"/>
      <c r="E32" s="13"/>
      <c r="F32" s="13"/>
      <c r="G32" s="13"/>
      <c r="H32" s="13"/>
      <c r="I32" s="13"/>
      <c r="J32" s="13"/>
      <c r="K32" s="7"/>
      <c r="L32" s="7"/>
      <c r="M32" s="7"/>
      <c r="N32" s="7"/>
      <c r="O32" s="7"/>
      <c r="P32" s="7"/>
      <c r="Q32" s="7"/>
      <c r="R32" s="7"/>
      <c r="S32" s="7"/>
    </row>
    <row r="33" spans="2:19">
      <c r="B33" s="13"/>
      <c r="C33" s="13"/>
      <c r="D33" s="13"/>
      <c r="E33" s="13"/>
      <c r="F33" s="13"/>
      <c r="G33" s="13"/>
      <c r="H33" s="13"/>
      <c r="I33" s="13"/>
      <c r="J33" s="13"/>
      <c r="K33" s="7"/>
      <c r="L33" s="7"/>
      <c r="M33" s="7"/>
      <c r="N33" s="7"/>
      <c r="O33" s="7"/>
      <c r="P33" s="7"/>
      <c r="Q33" s="7"/>
      <c r="R33" s="7"/>
      <c r="S33" s="7"/>
    </row>
    <row r="34" spans="2:19">
      <c r="B34" s="13"/>
      <c r="C34" s="13"/>
      <c r="D34" s="13"/>
      <c r="E34" s="13"/>
      <c r="F34" s="13"/>
      <c r="G34" s="13"/>
      <c r="H34" s="13"/>
      <c r="I34" s="13"/>
      <c r="J34" s="13"/>
      <c r="K34" s="7"/>
      <c r="L34" s="7"/>
      <c r="M34" s="7"/>
      <c r="N34" s="7"/>
      <c r="O34" s="7"/>
      <c r="P34" s="7"/>
      <c r="Q34" s="7"/>
      <c r="R34" s="7"/>
      <c r="S34" s="7"/>
    </row>
    <row r="35" spans="2:19">
      <c r="B35" s="13"/>
      <c r="C35" s="13"/>
      <c r="D35" s="13"/>
      <c r="E35" s="13"/>
      <c r="F35" s="13"/>
      <c r="G35" s="13"/>
      <c r="H35" s="13"/>
      <c r="I35" s="13"/>
      <c r="J35" s="13"/>
      <c r="K35" s="7"/>
      <c r="L35" s="7"/>
      <c r="M35" s="7"/>
      <c r="N35" s="7"/>
      <c r="O35" s="7"/>
      <c r="P35" s="7"/>
      <c r="Q35" s="7"/>
      <c r="R35" s="7"/>
      <c r="S35" s="7"/>
    </row>
    <row r="36" spans="2:19">
      <c r="B36" s="13"/>
      <c r="C36" s="13"/>
      <c r="D36" s="13"/>
      <c r="E36" s="13"/>
      <c r="F36" s="13"/>
      <c r="G36" s="13"/>
      <c r="H36" s="13"/>
      <c r="I36" s="13"/>
      <c r="J36" s="13"/>
      <c r="K36" s="7"/>
      <c r="L36" s="7"/>
      <c r="M36" s="7"/>
      <c r="N36" s="7"/>
      <c r="O36" s="7"/>
      <c r="P36" s="7"/>
      <c r="Q36" s="7"/>
      <c r="R36" s="7"/>
      <c r="S36" s="7"/>
    </row>
    <row r="37" spans="2:19">
      <c r="B37" s="13"/>
      <c r="C37" s="13"/>
      <c r="D37" s="13"/>
      <c r="E37" s="13"/>
      <c r="F37" s="13"/>
      <c r="G37" s="13"/>
      <c r="H37" s="13"/>
      <c r="I37" s="13"/>
      <c r="J37" s="13"/>
      <c r="K37" s="7"/>
      <c r="L37" s="7"/>
      <c r="M37" s="7"/>
      <c r="N37" s="7"/>
      <c r="O37" s="7"/>
      <c r="P37" s="7"/>
      <c r="Q37" s="7"/>
      <c r="R37" s="7"/>
      <c r="S37" s="7"/>
    </row>
    <row r="38" spans="2:19">
      <c r="B38" s="13"/>
      <c r="C38" s="13"/>
      <c r="D38" s="13"/>
      <c r="E38" s="13"/>
      <c r="F38" s="13"/>
      <c r="G38" s="13"/>
      <c r="H38" s="13"/>
      <c r="I38" s="13"/>
      <c r="J38" s="13"/>
      <c r="K38" s="7"/>
      <c r="L38" s="7"/>
      <c r="M38" s="7"/>
      <c r="N38" s="7"/>
      <c r="O38" s="7"/>
      <c r="P38" s="7"/>
      <c r="Q38" s="7"/>
      <c r="R38" s="7"/>
      <c r="S38" s="7"/>
    </row>
    <row r="39" spans="2:19">
      <c r="B39" s="13"/>
      <c r="C39" s="13"/>
      <c r="D39" s="13"/>
      <c r="E39" s="13"/>
      <c r="F39" s="13"/>
      <c r="G39" s="13"/>
      <c r="H39" s="13"/>
      <c r="I39" s="13"/>
      <c r="J39" s="13"/>
      <c r="K39" s="7"/>
      <c r="L39" s="7"/>
      <c r="M39" s="7"/>
      <c r="N39" s="7"/>
      <c r="O39" s="7"/>
      <c r="P39" s="7"/>
      <c r="Q39" s="7"/>
      <c r="R39" s="7"/>
      <c r="S39" s="7"/>
    </row>
    <row r="40" spans="2:19">
      <c r="B40" s="13"/>
      <c r="C40" s="13"/>
      <c r="D40" s="13"/>
      <c r="E40" s="13"/>
      <c r="F40" s="13"/>
      <c r="G40" s="13"/>
      <c r="H40" s="13"/>
      <c r="I40" s="13"/>
      <c r="J40" s="13"/>
      <c r="K40" s="7"/>
      <c r="L40" s="7"/>
      <c r="M40" s="7"/>
      <c r="N40" s="7"/>
      <c r="O40" s="7"/>
      <c r="P40" s="7"/>
      <c r="Q40" s="7"/>
      <c r="R40" s="7"/>
      <c r="S40" s="7"/>
    </row>
    <row r="41" spans="2:19">
      <c r="B41" s="13"/>
      <c r="C41" s="13"/>
      <c r="D41" s="13"/>
      <c r="E41" s="13"/>
      <c r="F41" s="13"/>
      <c r="G41" s="13"/>
      <c r="H41" s="13"/>
      <c r="I41" s="13"/>
      <c r="J41" s="13"/>
      <c r="K41" s="7"/>
      <c r="L41" s="7"/>
      <c r="M41" s="7"/>
      <c r="N41" s="7"/>
      <c r="O41" s="7"/>
      <c r="P41" s="7"/>
      <c r="Q41" s="7"/>
      <c r="R41" s="7"/>
      <c r="S41" s="7"/>
    </row>
    <row r="42" spans="2:19">
      <c r="B42" s="13"/>
      <c r="C42" s="13"/>
      <c r="D42" s="13"/>
      <c r="E42" s="13"/>
      <c r="F42" s="13"/>
      <c r="G42" s="13"/>
      <c r="H42" s="13"/>
      <c r="I42" s="13"/>
      <c r="J42" s="13"/>
      <c r="K42" s="7"/>
      <c r="L42" s="7"/>
      <c r="M42" s="7"/>
      <c r="N42" s="7"/>
      <c r="O42" s="7"/>
      <c r="P42" s="7"/>
      <c r="Q42" s="7"/>
      <c r="R42" s="7"/>
      <c r="S42" s="7"/>
    </row>
    <row r="43" spans="2:19">
      <c r="B43" s="13"/>
      <c r="C43" s="13"/>
      <c r="D43" s="13"/>
      <c r="E43" s="13"/>
      <c r="F43" s="13"/>
      <c r="G43" s="13"/>
      <c r="H43" s="13"/>
      <c r="I43" s="13"/>
      <c r="J43" s="13"/>
      <c r="K43" s="7"/>
      <c r="L43" s="7"/>
      <c r="M43" s="7"/>
      <c r="N43" s="7"/>
      <c r="O43" s="7"/>
      <c r="P43" s="7"/>
      <c r="Q43" s="7"/>
      <c r="R43" s="7"/>
      <c r="S43" s="7"/>
    </row>
    <row r="44" spans="2:19">
      <c r="B44" s="13"/>
      <c r="C44" s="13"/>
      <c r="D44" s="13"/>
      <c r="E44" s="13"/>
      <c r="F44" s="13"/>
      <c r="G44" s="13"/>
      <c r="H44" s="13"/>
      <c r="I44" s="13"/>
      <c r="J44" s="13"/>
      <c r="K44" s="7"/>
      <c r="L44" s="7"/>
      <c r="M44" s="7"/>
      <c r="N44" s="7"/>
      <c r="O44" s="7"/>
      <c r="P44" s="7"/>
      <c r="Q44" s="7"/>
      <c r="R44" s="7"/>
      <c r="S44" s="7"/>
    </row>
    <row r="45" spans="2:19">
      <c r="B45" s="13"/>
      <c r="C45" s="13"/>
      <c r="D45" s="13"/>
      <c r="E45" s="13"/>
      <c r="F45" s="13"/>
      <c r="G45" s="13"/>
      <c r="H45" s="13"/>
      <c r="I45" s="13"/>
      <c r="J45" s="13"/>
      <c r="K45" s="7"/>
      <c r="L45" s="7"/>
      <c r="M45" s="7"/>
      <c r="N45" s="7"/>
      <c r="O45" s="7"/>
      <c r="P45" s="7"/>
      <c r="Q45" s="7"/>
      <c r="R45" s="7"/>
      <c r="S45" s="7"/>
    </row>
    <row r="46" spans="2:19">
      <c r="B46" s="13"/>
      <c r="C46" s="13"/>
      <c r="D46" s="13"/>
      <c r="E46" s="13"/>
      <c r="F46" s="13"/>
      <c r="G46" s="13"/>
      <c r="H46" s="13"/>
      <c r="I46" s="13"/>
      <c r="J46" s="13"/>
      <c r="K46" s="7"/>
      <c r="L46" s="7"/>
      <c r="M46" s="7"/>
      <c r="N46" s="7"/>
      <c r="O46" s="7"/>
      <c r="P46" s="7"/>
      <c r="Q46" s="7"/>
      <c r="R46" s="7"/>
      <c r="S46" s="7"/>
    </row>
    <row r="47" spans="2:19">
      <c r="B47" s="13"/>
      <c r="C47" s="13"/>
      <c r="D47" s="13"/>
      <c r="E47" s="13"/>
      <c r="F47" s="13"/>
      <c r="G47" s="13"/>
      <c r="H47" s="13"/>
      <c r="I47" s="13"/>
      <c r="J47" s="13"/>
      <c r="K47" s="7"/>
      <c r="L47" s="7"/>
      <c r="M47" s="7"/>
      <c r="N47" s="7"/>
      <c r="O47" s="7"/>
      <c r="P47" s="7"/>
      <c r="Q47" s="7"/>
      <c r="R47" s="7"/>
      <c r="S47" s="7"/>
    </row>
    <row r="48" spans="2:19">
      <c r="B48" s="13"/>
      <c r="C48" s="13"/>
      <c r="D48" s="13"/>
      <c r="E48" s="13"/>
      <c r="F48" s="13"/>
      <c r="G48" s="13"/>
      <c r="H48" s="13"/>
      <c r="I48" s="13"/>
      <c r="J48" s="13"/>
      <c r="K48" s="7"/>
      <c r="L48" s="7"/>
      <c r="M48" s="7"/>
      <c r="N48" s="7"/>
      <c r="O48" s="7"/>
      <c r="P48" s="7"/>
      <c r="Q48" s="7"/>
      <c r="R48" s="7"/>
      <c r="S48" s="7"/>
    </row>
    <row r="49" spans="2:19">
      <c r="B49" s="13"/>
      <c r="C49" s="13"/>
      <c r="D49" s="13"/>
      <c r="E49" s="13"/>
      <c r="F49" s="13"/>
      <c r="G49" s="13"/>
      <c r="H49" s="13"/>
      <c r="I49" s="13"/>
      <c r="J49" s="13"/>
      <c r="K49" s="7"/>
      <c r="L49" s="7"/>
      <c r="M49" s="7"/>
      <c r="N49" s="7"/>
      <c r="O49" s="7"/>
      <c r="P49" s="7"/>
      <c r="Q49" s="7"/>
      <c r="R49" s="7"/>
      <c r="S49" s="7"/>
    </row>
    <row r="50" spans="2:19">
      <c r="B50" s="13"/>
      <c r="C50" s="13"/>
      <c r="D50" s="13"/>
      <c r="E50" s="13"/>
      <c r="F50" s="13"/>
      <c r="G50" s="13"/>
      <c r="H50" s="13"/>
      <c r="I50" s="13"/>
      <c r="J50" s="13"/>
      <c r="K50" s="7"/>
      <c r="L50" s="7"/>
      <c r="M50" s="7"/>
      <c r="N50" s="7"/>
      <c r="O50" s="7"/>
      <c r="P50" s="7"/>
      <c r="Q50" s="7"/>
      <c r="R50" s="7"/>
      <c r="S50" s="7"/>
    </row>
    <row r="51" spans="2:19">
      <c r="B51" s="13"/>
      <c r="C51" s="13"/>
      <c r="D51" s="13"/>
      <c r="E51" s="13"/>
      <c r="F51" s="13"/>
      <c r="G51" s="13"/>
      <c r="H51" s="13"/>
      <c r="I51" s="13"/>
      <c r="J51" s="13"/>
      <c r="K51" s="7"/>
      <c r="L51" s="7"/>
      <c r="M51" s="7"/>
      <c r="N51" s="7"/>
      <c r="O51" s="7"/>
      <c r="P51" s="7"/>
      <c r="Q51" s="7"/>
      <c r="R51" s="7"/>
      <c r="S51" s="7"/>
    </row>
    <row r="52" spans="2:19">
      <c r="B52" s="13"/>
      <c r="C52" s="13"/>
      <c r="D52" s="13"/>
      <c r="E52" s="13"/>
      <c r="F52" s="13"/>
      <c r="G52" s="13"/>
      <c r="H52" s="13"/>
      <c r="I52" s="13"/>
      <c r="J52" s="13"/>
      <c r="K52" s="7"/>
      <c r="L52" s="7"/>
      <c r="M52" s="7"/>
      <c r="N52" s="7"/>
      <c r="O52" s="7"/>
      <c r="P52" s="7"/>
      <c r="Q52" s="7"/>
      <c r="R52" s="7"/>
      <c r="S52" s="7"/>
    </row>
    <row r="53" spans="2:19">
      <c r="B53" s="13"/>
      <c r="C53" s="13"/>
      <c r="D53" s="13"/>
      <c r="E53" s="13"/>
      <c r="F53" s="13"/>
      <c r="G53" s="13"/>
      <c r="H53" s="13"/>
      <c r="I53" s="13"/>
      <c r="J53" s="13"/>
      <c r="K53" s="7"/>
      <c r="L53" s="7"/>
      <c r="M53" s="7"/>
      <c r="N53" s="7"/>
      <c r="O53" s="7"/>
      <c r="P53" s="7"/>
      <c r="Q53" s="7"/>
      <c r="R53" s="7"/>
      <c r="S53" s="7"/>
    </row>
    <row r="54" spans="2:19">
      <c r="B54" s="13"/>
      <c r="C54" s="13"/>
      <c r="D54" s="13"/>
      <c r="E54" s="13"/>
      <c r="F54" s="13"/>
      <c r="G54" s="13"/>
      <c r="H54" s="13"/>
      <c r="I54" s="13"/>
      <c r="J54" s="13"/>
      <c r="K54" s="7"/>
      <c r="L54" s="7"/>
      <c r="M54" s="7"/>
      <c r="N54" s="7"/>
      <c r="O54" s="7"/>
      <c r="P54" s="7"/>
      <c r="Q54" s="7"/>
      <c r="R54" s="7"/>
      <c r="S54" s="7"/>
    </row>
    <row r="55" spans="2:19">
      <c r="B55" s="13"/>
      <c r="C55" s="13"/>
      <c r="D55" s="13"/>
      <c r="E55" s="13"/>
      <c r="F55" s="13"/>
      <c r="G55" s="13"/>
      <c r="H55" s="13"/>
      <c r="I55" s="13"/>
      <c r="J55" s="13"/>
      <c r="K55" s="7"/>
      <c r="L55" s="7"/>
      <c r="M55" s="7"/>
      <c r="N55" s="7"/>
      <c r="O55" s="7"/>
      <c r="P55" s="7"/>
      <c r="Q55" s="7"/>
      <c r="R55" s="7"/>
      <c r="S55" s="7"/>
    </row>
    <row r="56" spans="2:19">
      <c r="B56" s="13"/>
      <c r="C56" s="13"/>
      <c r="D56" s="13"/>
      <c r="E56" s="13"/>
      <c r="F56" s="13"/>
      <c r="G56" s="13"/>
      <c r="H56" s="13"/>
      <c r="I56" s="13"/>
      <c r="J56" s="13"/>
      <c r="K56" s="7"/>
      <c r="L56" s="7"/>
      <c r="M56" s="7"/>
      <c r="N56" s="7"/>
      <c r="O56" s="7"/>
      <c r="P56" s="7"/>
      <c r="Q56" s="7"/>
      <c r="R56" s="7"/>
      <c r="S56" s="7"/>
    </row>
    <row r="57" spans="2:19">
      <c r="B57" s="13"/>
      <c r="C57" s="13"/>
      <c r="D57" s="13"/>
      <c r="E57" s="13"/>
      <c r="F57" s="13"/>
      <c r="G57" s="13"/>
      <c r="H57" s="13"/>
      <c r="I57" s="13"/>
      <c r="J57" s="13"/>
      <c r="K57" s="7"/>
      <c r="L57" s="7"/>
      <c r="M57" s="7"/>
      <c r="N57" s="7"/>
      <c r="O57" s="7"/>
      <c r="P57" s="7"/>
      <c r="Q57" s="7"/>
      <c r="R57" s="7"/>
      <c r="S57" s="7"/>
    </row>
    <row r="58" spans="2:19">
      <c r="B58" s="13"/>
      <c r="C58" s="13"/>
      <c r="D58" s="13"/>
      <c r="E58" s="13"/>
      <c r="F58" s="13"/>
      <c r="G58" s="13"/>
      <c r="H58" s="13"/>
      <c r="I58" s="13"/>
      <c r="J58" s="13"/>
      <c r="K58" s="7"/>
      <c r="L58" s="7"/>
      <c r="M58" s="7"/>
      <c r="N58" s="7"/>
      <c r="O58" s="7"/>
      <c r="P58" s="7"/>
      <c r="Q58" s="7"/>
      <c r="R58" s="7"/>
      <c r="S58" s="7"/>
    </row>
    <row r="59" spans="2:19">
      <c r="B59" s="13"/>
      <c r="C59" s="13"/>
      <c r="D59" s="13"/>
      <c r="E59" s="13"/>
      <c r="F59" s="13"/>
      <c r="G59" s="13"/>
      <c r="H59" s="13"/>
      <c r="I59" s="13"/>
      <c r="J59" s="13"/>
      <c r="K59" s="7"/>
      <c r="L59" s="7"/>
      <c r="M59" s="7"/>
      <c r="N59" s="7"/>
      <c r="O59" s="7"/>
      <c r="P59" s="7"/>
      <c r="Q59" s="7"/>
      <c r="R59" s="7"/>
      <c r="S59" s="7"/>
    </row>
    <row r="60" spans="2:19">
      <c r="B60" s="13"/>
      <c r="C60" s="13"/>
      <c r="D60" s="13"/>
      <c r="E60" s="13"/>
      <c r="F60" s="13"/>
      <c r="G60" s="13"/>
      <c r="H60" s="13"/>
      <c r="I60" s="13"/>
      <c r="J60" s="13"/>
      <c r="K60" s="7"/>
      <c r="L60" s="7"/>
      <c r="M60" s="7"/>
      <c r="N60" s="7"/>
      <c r="O60" s="7"/>
      <c r="P60" s="7"/>
      <c r="Q60" s="7"/>
      <c r="R60" s="7"/>
      <c r="S60" s="7"/>
    </row>
    <row r="61" spans="2:19">
      <c r="B61" s="13"/>
      <c r="C61" s="13"/>
      <c r="D61" s="13"/>
      <c r="E61" s="13"/>
      <c r="F61" s="13"/>
      <c r="G61" s="13"/>
      <c r="H61" s="13"/>
      <c r="I61" s="13"/>
      <c r="J61" s="13"/>
      <c r="K61" s="7"/>
      <c r="L61" s="7"/>
      <c r="M61" s="7"/>
      <c r="N61" s="7"/>
      <c r="O61" s="7"/>
      <c r="P61" s="7"/>
      <c r="Q61" s="7"/>
      <c r="R61" s="7"/>
      <c r="S61" s="7"/>
    </row>
    <row r="62" spans="2:19">
      <c r="B62" s="13"/>
      <c r="C62" s="13"/>
      <c r="D62" s="13"/>
      <c r="E62" s="13"/>
      <c r="F62" s="13"/>
      <c r="G62" s="13"/>
      <c r="H62" s="13"/>
      <c r="I62" s="13"/>
      <c r="J62" s="13"/>
      <c r="K62" s="7"/>
      <c r="L62" s="7"/>
      <c r="M62" s="7"/>
      <c r="N62" s="7"/>
      <c r="O62" s="7"/>
      <c r="P62" s="7"/>
      <c r="Q62" s="7"/>
      <c r="R62" s="7"/>
      <c r="S62" s="7"/>
    </row>
    <row r="63" spans="2:19">
      <c r="B63" s="13"/>
      <c r="C63" s="13"/>
      <c r="D63" s="13"/>
      <c r="E63" s="13"/>
      <c r="F63" s="13"/>
      <c r="G63" s="13"/>
      <c r="H63" s="13"/>
      <c r="I63" s="13"/>
      <c r="J63" s="13"/>
      <c r="K63" s="7"/>
      <c r="L63" s="7"/>
      <c r="M63" s="7"/>
      <c r="N63" s="7"/>
      <c r="O63" s="7"/>
      <c r="P63" s="7"/>
      <c r="Q63" s="7"/>
      <c r="R63" s="7"/>
      <c r="S63" s="7"/>
    </row>
    <row r="64" spans="2:19">
      <c r="B64" s="13"/>
      <c r="C64" s="13"/>
      <c r="D64" s="13"/>
      <c r="E64" s="13"/>
      <c r="F64" s="13"/>
      <c r="G64" s="13"/>
      <c r="H64" s="13"/>
      <c r="I64" s="13"/>
      <c r="J64" s="13"/>
      <c r="K64" s="7"/>
      <c r="L64" s="7"/>
      <c r="M64" s="7"/>
      <c r="N64" s="7"/>
      <c r="O64" s="7"/>
      <c r="P64" s="7"/>
      <c r="Q64" s="7"/>
      <c r="R64" s="7"/>
      <c r="S64" s="7"/>
    </row>
    <row r="65" spans="2:30">
      <c r="B65" s="13"/>
      <c r="C65" s="13"/>
      <c r="D65" s="13"/>
      <c r="E65" s="13"/>
      <c r="F65" s="13"/>
      <c r="G65" s="13"/>
      <c r="H65" s="13"/>
      <c r="I65" s="13"/>
      <c r="J65" s="13"/>
      <c r="K65" s="7"/>
      <c r="L65" s="7"/>
      <c r="M65" s="7"/>
      <c r="N65" s="7"/>
      <c r="O65" s="7"/>
      <c r="P65" s="7"/>
      <c r="Q65" s="7"/>
      <c r="R65" s="7"/>
      <c r="S65" s="7"/>
    </row>
    <row r="66" spans="2:30">
      <c r="B66" s="13"/>
      <c r="C66" s="13"/>
      <c r="D66" s="13"/>
      <c r="E66" s="13"/>
      <c r="F66" s="13"/>
      <c r="G66" s="13"/>
      <c r="H66" s="13"/>
      <c r="I66" s="13"/>
      <c r="J66" s="13"/>
      <c r="K66" s="7"/>
      <c r="L66" s="7"/>
      <c r="M66" s="7"/>
      <c r="N66" s="7"/>
      <c r="O66" s="7"/>
      <c r="P66" s="7"/>
      <c r="Q66" s="7"/>
      <c r="R66" s="7"/>
      <c r="S66" s="7"/>
    </row>
    <row r="67" spans="2:30">
      <c r="B67" s="13"/>
      <c r="C67" s="13"/>
      <c r="D67" s="13"/>
      <c r="E67" s="13"/>
      <c r="F67" s="13"/>
      <c r="G67" s="13"/>
      <c r="H67" s="13"/>
      <c r="I67" s="13"/>
      <c r="J67" s="13"/>
      <c r="K67" s="7"/>
      <c r="L67" s="7"/>
      <c r="M67" s="7"/>
      <c r="N67" s="7"/>
      <c r="O67" s="7"/>
      <c r="P67" s="7"/>
      <c r="Q67" s="7"/>
      <c r="R67" s="7"/>
      <c r="S67" s="7"/>
    </row>
    <row r="68" spans="2:30">
      <c r="B68" s="13"/>
      <c r="C68" s="13"/>
      <c r="D68" s="13"/>
      <c r="E68" s="13"/>
      <c r="F68" s="13"/>
      <c r="G68" s="13"/>
      <c r="H68" s="13"/>
      <c r="I68" s="13"/>
      <c r="J68" s="13"/>
      <c r="K68" s="7"/>
      <c r="L68" s="7"/>
      <c r="M68" s="7"/>
      <c r="N68" s="7"/>
      <c r="O68" s="7"/>
      <c r="P68" s="7"/>
      <c r="Q68" s="7"/>
      <c r="R68" s="7"/>
      <c r="S68" s="7"/>
    </row>
    <row r="69" spans="2:30">
      <c r="B69" s="13"/>
      <c r="C69" s="13"/>
      <c r="D69" s="13"/>
      <c r="E69" s="13"/>
      <c r="F69" s="13"/>
      <c r="G69" s="13"/>
      <c r="H69" s="13"/>
      <c r="I69" s="13"/>
      <c r="J69" s="13"/>
      <c r="K69" s="7"/>
      <c r="L69" s="7"/>
      <c r="M69" s="7"/>
      <c r="N69" s="7"/>
      <c r="O69" s="7"/>
      <c r="P69" s="7"/>
      <c r="Q69" s="7"/>
      <c r="R69" s="7"/>
      <c r="S69" s="7"/>
    </row>
    <row r="70" spans="2:30">
      <c r="B70" s="13"/>
      <c r="C70" s="13"/>
      <c r="D70" s="13"/>
      <c r="E70" s="13"/>
      <c r="F70" s="13"/>
      <c r="G70" s="13"/>
      <c r="H70" s="13"/>
      <c r="I70" s="13"/>
      <c r="J70" s="13"/>
      <c r="K70" s="7"/>
      <c r="L70" s="7"/>
      <c r="M70" s="7"/>
      <c r="N70" s="7"/>
      <c r="O70" s="7"/>
      <c r="P70" s="7"/>
      <c r="Q70" s="7"/>
      <c r="R70" s="7"/>
      <c r="S70" s="7"/>
    </row>
    <row r="71" spans="2:30">
      <c r="B71" s="13"/>
      <c r="C71" s="13"/>
      <c r="D71" s="13"/>
      <c r="E71" s="13"/>
      <c r="F71" s="13"/>
      <c r="G71" s="13"/>
      <c r="H71" s="13"/>
      <c r="I71" s="13"/>
      <c r="J71" s="13"/>
      <c r="K71" s="7"/>
      <c r="L71" s="7"/>
      <c r="M71" s="7"/>
      <c r="N71" s="7"/>
      <c r="O71" s="7"/>
      <c r="P71" s="7"/>
      <c r="Q71" s="7"/>
      <c r="R71" s="7"/>
      <c r="S71" s="7"/>
    </row>
    <row r="72" spans="2:30">
      <c r="B72" s="13"/>
      <c r="C72" s="13"/>
      <c r="D72" s="13"/>
      <c r="E72" s="13"/>
      <c r="F72" s="13"/>
      <c r="G72" s="13"/>
      <c r="H72" s="13"/>
      <c r="I72" s="13"/>
      <c r="J72" s="13"/>
      <c r="K72" s="7"/>
      <c r="L72" s="7"/>
      <c r="M72" s="7"/>
      <c r="N72" s="7"/>
      <c r="O72" s="7"/>
      <c r="P72" s="7"/>
      <c r="Q72" s="7"/>
      <c r="R72" s="7"/>
      <c r="S72" s="7"/>
    </row>
    <row r="73" spans="2:30">
      <c r="B73" s="13"/>
      <c r="C73" s="13"/>
      <c r="D73" s="13"/>
      <c r="E73" s="13"/>
      <c r="F73" s="13"/>
      <c r="G73" s="13"/>
      <c r="H73" s="13"/>
      <c r="I73" s="13"/>
      <c r="J73" s="13"/>
      <c r="K73" s="7"/>
      <c r="L73" s="7"/>
      <c r="M73" s="7"/>
      <c r="N73" s="7"/>
      <c r="O73" s="7"/>
      <c r="P73" s="7"/>
      <c r="Q73" s="7"/>
      <c r="R73" s="7"/>
      <c r="S73" s="7"/>
    </row>
    <row r="74" spans="2:30">
      <c r="B74" s="13"/>
      <c r="C74" s="13"/>
      <c r="D74" s="13"/>
      <c r="E74" s="13"/>
      <c r="F74" s="13"/>
      <c r="G74" s="13"/>
      <c r="H74" s="13"/>
      <c r="I74" s="13"/>
      <c r="J74" s="13"/>
      <c r="K74" s="7"/>
      <c r="L74" s="7"/>
      <c r="M74" s="7"/>
      <c r="N74" s="7"/>
      <c r="O74" s="7"/>
      <c r="P74" s="7"/>
      <c r="Q74" s="7"/>
      <c r="R74" s="7"/>
      <c r="S74" s="7"/>
    </row>
    <row r="75" spans="2:30">
      <c r="B75" s="13"/>
      <c r="C75" s="13"/>
      <c r="D75" s="13"/>
      <c r="E75" s="13"/>
      <c r="F75" s="13"/>
      <c r="G75" s="13"/>
      <c r="H75" s="13"/>
      <c r="I75" s="13"/>
      <c r="J75" s="13"/>
      <c r="K75" s="7"/>
      <c r="L75" s="7"/>
      <c r="M75" s="7"/>
      <c r="N75" s="7"/>
      <c r="O75" s="7"/>
      <c r="P75" s="7"/>
      <c r="Q75" s="7"/>
      <c r="R75" s="7"/>
      <c r="S75" s="7"/>
    </row>
    <row r="78" spans="2:30">
      <c r="W78" s="32"/>
      <c r="X78" s="32"/>
      <c r="Y78" s="32"/>
      <c r="Z78" s="32"/>
      <c r="AA78" s="32"/>
      <c r="AB78" s="32"/>
      <c r="AC78" s="32"/>
    </row>
    <row r="79" spans="2:30">
      <c r="W79" s="32"/>
      <c r="X79" s="32"/>
      <c r="Y79" s="32"/>
      <c r="Z79" s="32"/>
      <c r="AA79" s="32"/>
      <c r="AB79" s="32"/>
      <c r="AC79" s="32"/>
    </row>
    <row r="80" spans="2:30" ht="29.25">
      <c r="W80" s="27" t="s">
        <v>315</v>
      </c>
      <c r="X80" s="27" t="s">
        <v>316</v>
      </c>
      <c r="Y80" s="26" t="s">
        <v>317</v>
      </c>
      <c r="Z80" s="26" t="s">
        <v>318</v>
      </c>
      <c r="AA80" s="26" t="s">
        <v>319</v>
      </c>
      <c r="AB80" s="26" t="s">
        <v>320</v>
      </c>
      <c r="AC80" s="26" t="s">
        <v>321</v>
      </c>
      <c r="AD80" s="26" t="s">
        <v>322</v>
      </c>
    </row>
    <row r="81" spans="23:30">
      <c r="W81" s="27" t="s">
        <v>29</v>
      </c>
      <c r="X81" s="27">
        <f>COUNTIF(Tabela1[Plan], Table2[[#This Row],[Plans]])</f>
        <v>101</v>
      </c>
      <c r="Y81" s="27">
        <f>COUNTIFS(Tabela1[Plan], Table2[[#This Row],[Plans]],Tabela1[Auto Renewal],"YES")</f>
        <v>51</v>
      </c>
      <c r="Z81" s="27">
        <f>COUNTIFS(Tabela1[Plan], Table2[[#This Row],[Plans]],Tabela1[Auto Renewal],"NO")</f>
        <v>50</v>
      </c>
      <c r="AA81" s="27">
        <f>COUNTIFS(Tabela1[Plan], Table2[[#This Row],[Plans]],Tabela1[EA Play Season Pass],"YES")</f>
        <v>0</v>
      </c>
      <c r="AB81" s="27">
        <f>COUNTIFS(Tabela1[Plan], Table2[[#This Row],[Plans]],Tabela1[EA Play Season Pass],"NO")</f>
        <v>101</v>
      </c>
      <c r="AC81" s="27">
        <f>COUNTIFS(Tabela1[Plan], Table2[[#This Row],[Plans]],Tabela1[Minecraft Season Pass],"YES")</f>
        <v>0</v>
      </c>
      <c r="AD81" s="27">
        <f>COUNTIFS(Tabela1[Plan], Table2[[#This Row],[Plans]],Tabela1[Minecraft Season Pass],"NO")</f>
        <v>101</v>
      </c>
    </row>
    <row r="82" spans="23:30">
      <c r="W82" s="27" t="s">
        <v>34</v>
      </c>
      <c r="X82" s="27">
        <f>COUNTIF(Tabela1[Plan], Table2[[#This Row],[Plans]])</f>
        <v>96</v>
      </c>
      <c r="Y82" s="27">
        <f>COUNTIFS(Tabela1[Plan], Table2[[#This Row],[Plans]],Tabela1[Auto Renewal],"YES")</f>
        <v>49</v>
      </c>
      <c r="Z82" s="27">
        <f>COUNTIFS(Tabela1[Plan], Table2[[#This Row],[Plans]],Tabela1[Auto Renewal],"NO")</f>
        <v>47</v>
      </c>
      <c r="AA82" s="27">
        <f>COUNTIFS(Tabela1[Plan], Table2[[#This Row],[Plans]],Tabela1[EA Play Season Pass],"YES")</f>
        <v>0</v>
      </c>
      <c r="AB82" s="27">
        <f>COUNTIFS(Tabela1[Plan], Table2[[#This Row],[Plans]],Tabela1[EA Play Season Pass],"NO")</f>
        <v>96</v>
      </c>
      <c r="AC82" s="27">
        <f>COUNTIFS(Tabela1[Plan], Table2[[#This Row],[Plans]],Tabela1[Minecraft Season Pass],"YES")</f>
        <v>96</v>
      </c>
      <c r="AD82" s="27">
        <f>COUNTIFS(Tabela1[Plan], Table2[[#This Row],[Plans]],Tabela1[Minecraft Season Pass],"NO")</f>
        <v>0</v>
      </c>
    </row>
    <row r="83" spans="23:30">
      <c r="W83" s="27" t="s">
        <v>25</v>
      </c>
      <c r="X83" s="27">
        <f>COUNTIF(Tabela1[Plan], Table2[[#This Row],[Plans]])</f>
        <v>98</v>
      </c>
      <c r="Y83" s="27">
        <f>COUNTIFS(Tabela1[Plan], Table2[[#This Row],[Plans]],Tabela1[Auto Renewal],"YES")</f>
        <v>48</v>
      </c>
      <c r="Z83" s="27">
        <f>COUNTIFS(Tabela1[Plan], Table2[[#This Row],[Plans]],Tabela1[Auto Renewal],"NO")</f>
        <v>50</v>
      </c>
      <c r="AA83" s="27">
        <f>COUNTIFS(Tabela1[Plan], Table2[[#This Row],[Plans]],Tabela1[EA Play Season Pass],"YES")</f>
        <v>98</v>
      </c>
      <c r="AB83" s="27">
        <f>COUNTIFS(Tabela1[Plan], Table2[[#This Row],[Plans]],Tabela1[EA Play Season Pass],"NO")</f>
        <v>0</v>
      </c>
      <c r="AC83" s="27">
        <f>COUNTIFS(Tabela1[Plan], Table2[[#This Row],[Plans]],Tabela1[Minecraft Season Pass],"YES")</f>
        <v>98</v>
      </c>
      <c r="AD83" s="27">
        <f>COUNTIFS(Tabela1[Plan], Table2[[#This Row],[Plans]],Tabela1[Minecraft Season Pass],"NO")</f>
        <v>0</v>
      </c>
    </row>
    <row r="84" spans="23:30">
      <c r="W84" s="27"/>
      <c r="X84" s="27">
        <f>SUBTOTAL(109,X81:X83)</f>
        <v>295</v>
      </c>
      <c r="Y84" s="27">
        <f>SUBTOTAL(109,Y81:Y83)</f>
        <v>148</v>
      </c>
      <c r="Z84" s="27">
        <f>SUBTOTAL(109,Z81:Z83)</f>
        <v>147</v>
      </c>
      <c r="AA84" s="27">
        <f>SUBTOTAL(109,AA81:AA83)</f>
        <v>98</v>
      </c>
      <c r="AB84" s="27">
        <f>SUBTOTAL(109,AB81:AB83)</f>
        <v>197</v>
      </c>
      <c r="AC84" s="27">
        <f>SUBTOTAL(109,AC81:AC83)</f>
        <v>194</v>
      </c>
      <c r="AD84" s="27">
        <f>SUBTOTAL(109,AD81:AD83)</f>
        <v>101</v>
      </c>
    </row>
    <row r="85" spans="23:30">
      <c r="W85" s="29"/>
      <c r="X85" s="29"/>
      <c r="Y85" s="29"/>
      <c r="Z85" s="29"/>
      <c r="AA85" s="29"/>
      <c r="AB85" s="29"/>
      <c r="AC85" s="29"/>
      <c r="AD85" s="28"/>
    </row>
    <row r="86" spans="23:30">
      <c r="W86" s="29"/>
      <c r="X86" s="29"/>
      <c r="Y86" s="29"/>
      <c r="Z86" s="29"/>
      <c r="AA86" s="29"/>
      <c r="AB86" s="29"/>
      <c r="AC86" s="29"/>
      <c r="AD86" s="28"/>
    </row>
    <row r="87" spans="23:30">
      <c r="W87" s="29"/>
      <c r="X87" s="29"/>
      <c r="Y87" s="29"/>
      <c r="Z87" s="29"/>
      <c r="AA87" s="29"/>
      <c r="AB87" s="29"/>
      <c r="AC87" s="29"/>
      <c r="AD87" s="28"/>
    </row>
    <row r="88" spans="23:30">
      <c r="W88" s="29"/>
      <c r="X88" s="29"/>
      <c r="Y88" s="29"/>
      <c r="Z88" s="29"/>
      <c r="AA88" s="29"/>
      <c r="AB88" s="29"/>
      <c r="AC88" s="29"/>
      <c r="AD88" s="28"/>
    </row>
    <row r="89" spans="23:30">
      <c r="W89" s="27" t="s">
        <v>315</v>
      </c>
      <c r="X89" s="27" t="s">
        <v>323</v>
      </c>
      <c r="Y89" s="29"/>
      <c r="Z89" s="29"/>
      <c r="AA89" s="29"/>
      <c r="AB89" s="29"/>
      <c r="AC89" s="29"/>
      <c r="AD89" s="28"/>
    </row>
    <row r="90" spans="23:30">
      <c r="W90" s="27" t="s">
        <v>29</v>
      </c>
      <c r="X90" s="30">
        <f>SUMIF(B̳ases!C:C,D̳ashboard!W90,B̳ases!M:M)</f>
        <v>444</v>
      </c>
      <c r="Y90" s="29"/>
      <c r="Z90" s="29"/>
      <c r="AA90" s="29"/>
      <c r="AB90" s="29"/>
      <c r="AC90" s="29"/>
      <c r="AD90" s="28"/>
    </row>
    <row r="91" spans="23:30">
      <c r="W91" s="27" t="s">
        <v>34</v>
      </c>
      <c r="X91" s="30">
        <f>SUMIF(B̳ases!C:C,D̳ashboard!W91,B̳ases!M:M)</f>
        <v>1801</v>
      </c>
      <c r="Y91" s="29"/>
      <c r="Z91" s="29"/>
      <c r="AA91" s="29"/>
      <c r="AB91" s="29"/>
      <c r="AC91" s="29"/>
      <c r="AD91" s="28"/>
    </row>
    <row r="92" spans="23:30">
      <c r="W92" s="27" t="s">
        <v>25</v>
      </c>
      <c r="X92" s="30">
        <f>SUMIF(B̳ases!C:C,D̳ashboard!W92,B̳ases!M:M)</f>
        <v>5388</v>
      </c>
      <c r="Y92" s="29"/>
      <c r="Z92" s="29"/>
      <c r="AA92" s="29"/>
      <c r="AB92" s="29"/>
      <c r="AC92" s="29"/>
      <c r="AD92" s="28"/>
    </row>
    <row r="93" spans="23:30">
      <c r="W93" s="27" t="s">
        <v>324</v>
      </c>
      <c r="X93" s="30">
        <f>SUBTOTAL(109,Table3[total])</f>
        <v>7633</v>
      </c>
      <c r="Y93" s="29"/>
      <c r="Z93" s="29"/>
      <c r="AA93" s="29"/>
      <c r="AB93" s="29"/>
      <c r="AC93" s="29"/>
      <c r="AD93" s="28"/>
    </row>
    <row r="94" spans="23:30">
      <c r="W94" s="29"/>
      <c r="X94" s="29"/>
      <c r="Y94" s="29"/>
      <c r="Z94" s="29"/>
      <c r="AA94" s="29"/>
      <c r="AB94" s="29"/>
      <c r="AC94" s="29"/>
      <c r="AD94" s="28"/>
    </row>
    <row r="95" spans="23:30">
      <c r="W95" s="29"/>
      <c r="X95" s="29"/>
      <c r="Y95" s="29"/>
      <c r="Z95" s="29"/>
      <c r="AA95" s="29"/>
      <c r="AB95" s="29"/>
      <c r="AC95" s="29"/>
      <c r="AD95" s="28"/>
    </row>
    <row r="96" spans="23:30" ht="29.25">
      <c r="W96" s="26" t="s">
        <v>17</v>
      </c>
      <c r="X96" s="27" t="s">
        <v>29</v>
      </c>
      <c r="Y96" s="27" t="s">
        <v>34</v>
      </c>
      <c r="Z96" s="27" t="s">
        <v>25</v>
      </c>
      <c r="AA96" s="27" t="s">
        <v>325</v>
      </c>
      <c r="AB96" s="29"/>
      <c r="AC96" s="29"/>
      <c r="AD96" s="28"/>
    </row>
    <row r="97" spans="23:30">
      <c r="W97" s="29" t="s">
        <v>27</v>
      </c>
      <c r="X97" s="31">
        <f>SUMIFS(B̳ases!$M:$M,B̳ases!$G:$G,D̳ashboard!$W$97,B̳ases!$C:$C,D̳ashboard!X96)</f>
        <v>192</v>
      </c>
      <c r="Y97" s="31">
        <f>SUMIFS(B̳ases!$M:$M,B̳ases!$G:$G,D̳ashboard!$W$97,B̳ases!$C:$C,D̳ashboard!Y96)</f>
        <v>958</v>
      </c>
      <c r="Z97" s="31">
        <f>SUMIFS(B̳ases!$M:$M,B̳ases!$G:$G,D̳ashboard!$W$97,B̳ases!$C:$C,D̳ashboard!Z96)</f>
        <v>2421</v>
      </c>
      <c r="AA97" s="31">
        <f>SUM(Table4[[#This Row],[Core]:[Ultimate]])</f>
        <v>3571</v>
      </c>
      <c r="AB97" s="29"/>
      <c r="AC97" s="29"/>
      <c r="AD97" s="28"/>
    </row>
    <row r="98" spans="23:30">
      <c r="W98" s="29" t="s">
        <v>35</v>
      </c>
      <c r="X98" s="31">
        <f>SUMIFS(B̳ases!$M:$M,B̳ases!$G:$G,D̳ashboard!$W$98,B̳ases!$C:$C,D̳ashboard!X96)</f>
        <v>132</v>
      </c>
      <c r="Y98" s="31">
        <f>SUMIFS(B̳ases!$M:$M,B̳ases!$G:$G,D̳ashboard!$W$98,B̳ases!$C:$C,D̳ashboard!Y96)</f>
        <v>395</v>
      </c>
      <c r="Z98" s="31">
        <f>SUMIFS(B̳ases!$M:$M,B̳ases!$G:$G,D̳ashboard!$W$98,B̳ases!$C:$C,D̳ashboard!Z96)</f>
        <v>1781</v>
      </c>
      <c r="AA98" s="31">
        <f>SUM(Table4[[#This Row],[Core]:[Ultimate]])</f>
        <v>2308</v>
      </c>
      <c r="AB98" s="29"/>
      <c r="AC98" s="29"/>
      <c r="AD98" s="28"/>
    </row>
    <row r="99" spans="23:30">
      <c r="W99" s="29" t="s">
        <v>31</v>
      </c>
      <c r="X99" s="31">
        <f>SUMIFS(B̳ases!$M:$M,B̳ases!$G:$G,D̳ashboard!$W$99,B̳ases!$C:$C,D̳ashboard!X96)</f>
        <v>120</v>
      </c>
      <c r="Y99" s="31">
        <f>SUMIFS(B̳ases!$M:$M,B̳ases!$G:$G,D̳ashboard!$W$99,B̳ases!$C:$C,D̳ashboard!Y96)</f>
        <v>448</v>
      </c>
      <c r="Z99" s="31">
        <f>SUMIFS(B̳ases!$M:$M,B̳ases!$G:$G,D̳ashboard!$W$99,B̳ases!$C:$C,D̳ashboard!Z96)</f>
        <v>1186</v>
      </c>
      <c r="AA99" s="31">
        <f>SUM(Table4[[#This Row],[Core]:[Ultimate]])</f>
        <v>1754</v>
      </c>
      <c r="AB99" s="29"/>
      <c r="AC99" s="29"/>
      <c r="AD99" s="28"/>
    </row>
    <row r="100" spans="23:30">
      <c r="W100" s="29" t="s">
        <v>324</v>
      </c>
      <c r="X100" s="31">
        <f>SUBTOTAL(109,X97:X99)</f>
        <v>444</v>
      </c>
      <c r="Y100" s="31">
        <f>SUBTOTAL(109,Y97:Y99)</f>
        <v>1801</v>
      </c>
      <c r="Z100" s="31">
        <f>SUBTOTAL(109,Table4[Ultimate])</f>
        <v>5388</v>
      </c>
      <c r="AA100" s="31">
        <f>SUBTOTAL(109,AA97:AA99)</f>
        <v>7633</v>
      </c>
      <c r="AB100" s="29"/>
      <c r="AC100" s="29"/>
      <c r="AD100" s="28"/>
    </row>
    <row r="101" spans="23:30">
      <c r="W101" s="32"/>
      <c r="X101" s="32"/>
      <c r="Y101" s="32"/>
      <c r="Z101" s="32"/>
      <c r="AA101" s="32"/>
      <c r="AB101" s="32"/>
      <c r="AC101" s="32"/>
    </row>
  </sheetData>
  <mergeCells count="1">
    <mergeCell ref="B1:K3"/>
  </mergeCells>
  <pageMargins left="0.511811024" right="0.511811024" top="0.78740157499999996" bottom="0.78740157499999996" header="0.31496062000000002" footer="0.31496062000000002"/>
  <pageSetup paperSize="9" fitToHeight="0" orientation="portrait"/>
  <drawing r:id="rId1"/>
  <tableParts count="3">
    <tablePart r:id="rId2"/>
    <tablePart r:id="rId3"/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Danilo Jardim</cp:lastModifiedBy>
  <cp:revision/>
  <dcterms:created xsi:type="dcterms:W3CDTF">2024-12-19T13:13:10Z</dcterms:created>
  <dcterms:modified xsi:type="dcterms:W3CDTF">2025-12-10T15:33:12Z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